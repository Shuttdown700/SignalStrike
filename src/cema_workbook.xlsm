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rmyeitaas-my.sharepoint-mil.us/personal/brenden_m_shutt_mil_army_mil/Documents/00. Innovations/"/>
    </mc:Choice>
  </mc:AlternateContent>
  <xr:revisionPtr revIDLastSave="6" documentId="8_{B0A909E9-ACAA-4F93-9062-550ABA645AFA}" xr6:coauthVersionLast="47" xr6:coauthVersionMax="47" xr10:uidLastSave="{625DD7E3-7AA2-424E-926E-319A02CA510F}"/>
  <bookViews>
    <workbookView minimized="1" xWindow="780" yWindow="780" windowWidth="21600" windowHeight="11295" tabRatio="681" activeTab="2" xr2:uid="{CDC39522-8C51-4108-BE28-4910C6CB96FE}"/>
  </bookViews>
  <sheets>
    <sheet name="TABLE ON CONTENTS" sheetId="12" r:id="rId1"/>
    <sheet name="Frequency Deconfliction" sheetId="6" r:id="rId2"/>
    <sheet name="Max LOS Range Calc." sheetId="1" r:id="rId3"/>
    <sheet name="Jam Feasibility Calc." sheetId="4" r:id="rId4"/>
    <sheet name="VARIOUS Calc." sheetId="13" r:id="rId5"/>
    <sheet name="(Legacy) Direction Finding" sheetId="8" r:id="rId6"/>
    <sheet name="NOTES" sheetId="14" r:id="rId7"/>
    <sheet name="JRFL" sheetId="5" r:id="rId8"/>
    <sheet name="BLUEFOR" sheetId="9" r:id="rId9"/>
    <sheet name="CIVFREQ" sheetId="11" r:id="rId10"/>
  </sheets>
  <definedNames>
    <definedName name="_xlnm._FilterDatabase" localSheetId="9" hidden="1">CIVFREQ!$B$1:$B$128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 l="1"/>
  <c r="K3" i="4"/>
  <c r="D4" i="1"/>
  <c r="L32" i="13"/>
  <c r="H10" i="4"/>
  <c r="L3" i="4" s="1"/>
  <c r="V9" i="8"/>
  <c r="D10" i="1"/>
  <c r="D18" i="1"/>
  <c r="D12" i="1" s="1"/>
  <c r="H15" i="8"/>
  <c r="H10" i="8"/>
  <c r="H16" i="8"/>
  <c r="E33" i="1"/>
  <c r="D16" i="1"/>
  <c r="D14" i="1" s="1"/>
  <c r="E30" i="13"/>
  <c r="E34" i="1"/>
  <c r="E31" i="1"/>
  <c r="H13" i="8"/>
  <c r="H12" i="8"/>
  <c r="T36" i="8"/>
  <c r="L26" i="13"/>
  <c r="H46" i="8"/>
  <c r="H25" i="8"/>
  <c r="K13" i="6"/>
  <c r="H3" i="1" l="1"/>
  <c r="H14" i="8"/>
  <c r="H34" i="8"/>
  <c r="E54" i="13"/>
  <c r="E46" i="13"/>
  <c r="E50" i="13"/>
  <c r="E38" i="13"/>
  <c r="E42" i="13"/>
  <c r="E34" i="13"/>
  <c r="E26" i="13"/>
  <c r="D18" i="13"/>
  <c r="E19" i="13"/>
  <c r="D19" i="13"/>
  <c r="E18" i="13"/>
  <c r="I19" i="13"/>
  <c r="H19" i="13"/>
  <c r="I18" i="13"/>
  <c r="H18" i="13"/>
  <c r="Q19" i="13"/>
  <c r="P19" i="13"/>
  <c r="Q18" i="13"/>
  <c r="P18" i="13"/>
  <c r="O19" i="13"/>
  <c r="N19" i="13"/>
  <c r="O18" i="13"/>
  <c r="N18" i="13"/>
  <c r="M19" i="13"/>
  <c r="L19" i="13"/>
  <c r="M18" i="13"/>
  <c r="L18" i="13"/>
  <c r="J18" i="13"/>
  <c r="K19" i="13"/>
  <c r="J19" i="13"/>
  <c r="K18" i="13"/>
  <c r="F18" i="13"/>
  <c r="F7" i="13"/>
  <c r="F10" i="13" s="1"/>
  <c r="G10" i="13" s="1"/>
  <c r="P7" i="13"/>
  <c r="Q7" i="13" s="1"/>
  <c r="N7" i="13"/>
  <c r="N8" i="13" s="1"/>
  <c r="L7" i="13"/>
  <c r="L8" i="13" s="1"/>
  <c r="J7" i="13"/>
  <c r="J8" i="13" s="1"/>
  <c r="H7" i="13"/>
  <c r="H10" i="13" s="1"/>
  <c r="I10" i="13" s="1"/>
  <c r="D7" i="13"/>
  <c r="D10" i="13" s="1"/>
  <c r="E10" i="13" s="1"/>
  <c r="H7" i="1" l="1"/>
  <c r="P8" i="13"/>
  <c r="P10" i="13"/>
  <c r="Q10" i="13" s="1"/>
  <c r="N9" i="13"/>
  <c r="O9" i="13" s="1"/>
  <c r="O8" i="13"/>
  <c r="O7" i="13"/>
  <c r="N10" i="13"/>
  <c r="O10" i="13" s="1"/>
  <c r="L9" i="13"/>
  <c r="M9" i="13" s="1"/>
  <c r="M8" i="13"/>
  <c r="M7" i="13"/>
  <c r="L10" i="13"/>
  <c r="M10" i="13" s="1"/>
  <c r="J9" i="13"/>
  <c r="K9" i="13" s="1"/>
  <c r="K8" i="13"/>
  <c r="K7" i="13"/>
  <c r="J10" i="13"/>
  <c r="K10" i="13" s="1"/>
  <c r="H8" i="13"/>
  <c r="I8" i="13" s="1"/>
  <c r="I7" i="13"/>
  <c r="D8" i="13"/>
  <c r="E7" i="13"/>
  <c r="F8" i="13"/>
  <c r="G8" i="13" s="1"/>
  <c r="G7" i="13"/>
  <c r="G59" i="8"/>
  <c r="G38" i="8"/>
  <c r="G17" i="8"/>
  <c r="P59" i="8"/>
  <c r="P38" i="8"/>
  <c r="P17" i="8"/>
  <c r="S61" i="8"/>
  <c r="S43" i="8"/>
  <c r="S25" i="8"/>
  <c r="S47" i="8"/>
  <c r="S29" i="8"/>
  <c r="S11" i="8"/>
  <c r="S8" i="8"/>
  <c r="S7" i="8"/>
  <c r="S6" i="8"/>
  <c r="T9" i="8"/>
  <c r="H50" i="8"/>
  <c r="H49" i="8"/>
  <c r="H8" i="8"/>
  <c r="H7" i="8"/>
  <c r="H28" i="8"/>
  <c r="H29" i="8"/>
  <c r="J44" i="8"/>
  <c r="J23" i="8"/>
  <c r="J3" i="8"/>
  <c r="S60" i="8"/>
  <c r="K53" i="8"/>
  <c r="H45" i="8"/>
  <c r="K51" i="8" s="1"/>
  <c r="S59" i="8"/>
  <c r="S41" i="8"/>
  <c r="S42" i="8"/>
  <c r="S24" i="8"/>
  <c r="S23" i="8"/>
  <c r="H55" i="8"/>
  <c r="H53" i="8"/>
  <c r="H56" i="8" s="1"/>
  <c r="H48" i="8"/>
  <c r="H30" i="8"/>
  <c r="H51" i="8" s="1"/>
  <c r="H32" i="8"/>
  <c r="J34" i="8" s="1"/>
  <c r="H27" i="8"/>
  <c r="H24" i="8"/>
  <c r="K30" i="8" s="1"/>
  <c r="J51" i="8"/>
  <c r="J30" i="8"/>
  <c r="K7" i="8"/>
  <c r="K15" i="8"/>
  <c r="K13" i="8"/>
  <c r="K11" i="8"/>
  <c r="K9" i="8"/>
  <c r="K5" i="8"/>
  <c r="J13" i="8"/>
  <c r="J5" i="8"/>
  <c r="S17" i="8" s="1"/>
  <c r="H31" i="8"/>
  <c r="J9" i="8"/>
  <c r="F9" i="13" l="1"/>
  <c r="G9" i="13" s="1"/>
  <c r="Q8" i="13"/>
  <c r="P9" i="13"/>
  <c r="Q9" i="13" s="1"/>
  <c r="H9" i="13"/>
  <c r="I9" i="13" s="1"/>
  <c r="E8" i="13"/>
  <c r="D9" i="13"/>
  <c r="E9" i="13" s="1"/>
  <c r="L13" i="8"/>
  <c r="L14" i="8" s="1"/>
  <c r="N14" i="8" s="1"/>
  <c r="O14" i="8" s="1"/>
  <c r="L11" i="8"/>
  <c r="L12" i="8" s="1"/>
  <c r="N12" i="8" s="1"/>
  <c r="H37" i="8"/>
  <c r="L32" i="8" s="1"/>
  <c r="L33" i="8" s="1"/>
  <c r="N33" i="8" s="1"/>
  <c r="L5" i="8"/>
  <c r="L6" i="8" s="1"/>
  <c r="L7" i="8"/>
  <c r="L8" i="8" s="1"/>
  <c r="L15" i="8"/>
  <c r="N15" i="8" s="1"/>
  <c r="H57" i="8"/>
  <c r="L51" i="8" s="1"/>
  <c r="K55" i="8"/>
  <c r="L9" i="8"/>
  <c r="H36" i="8"/>
  <c r="L30" i="8" s="1"/>
  <c r="S21" i="8"/>
  <c r="S22" i="8"/>
  <c r="S20" i="8"/>
  <c r="H33" i="8"/>
  <c r="S51" i="8"/>
  <c r="S57" i="8"/>
  <c r="S37" i="8"/>
  <c r="H58" i="8"/>
  <c r="S19" i="8"/>
  <c r="K57" i="8"/>
  <c r="K47" i="8"/>
  <c r="K49" i="8"/>
  <c r="J55" i="8"/>
  <c r="H54" i="8"/>
  <c r="J47" i="8"/>
  <c r="S34" i="8" s="1"/>
  <c r="H52" i="8"/>
  <c r="J26" i="8"/>
  <c r="S16" i="8" s="1"/>
  <c r="H35" i="8"/>
  <c r="K34" i="8"/>
  <c r="K26" i="8"/>
  <c r="K32" i="8"/>
  <c r="K36" i="8"/>
  <c r="K28" i="8"/>
  <c r="D6" i="1"/>
  <c r="L10" i="8" l="1"/>
  <c r="M9" i="8" s="1"/>
  <c r="M5" i="8"/>
  <c r="L16" i="8"/>
  <c r="N16" i="8" s="1"/>
  <c r="O16" i="8" s="1"/>
  <c r="L47" i="8"/>
  <c r="L48" i="8" s="1"/>
  <c r="N48" i="8" s="1"/>
  <c r="O48" i="8" s="1"/>
  <c r="L52" i="8"/>
  <c r="L55" i="8"/>
  <c r="L56" i="8" s="1"/>
  <c r="N56" i="8" s="1"/>
  <c r="O56" i="8" s="1"/>
  <c r="L26" i="8"/>
  <c r="L27" i="8" s="1"/>
  <c r="N27" i="8" s="1"/>
  <c r="O27" i="8" s="1"/>
  <c r="L53" i="8"/>
  <c r="L54" i="8" s="1"/>
  <c r="N54" i="8" s="1"/>
  <c r="O54" i="8" s="1"/>
  <c r="L57" i="8"/>
  <c r="L58" i="8" s="1"/>
  <c r="L49" i="8"/>
  <c r="L50" i="8" s="1"/>
  <c r="L36" i="8"/>
  <c r="L34" i="8"/>
  <c r="L35" i="8" s="1"/>
  <c r="N35" i="8" s="1"/>
  <c r="O35" i="8" s="1"/>
  <c r="L28" i="8"/>
  <c r="S38" i="8"/>
  <c r="S35" i="8"/>
  <c r="S32" i="8"/>
  <c r="S53" i="8"/>
  <c r="S56" i="8"/>
  <c r="S50" i="8"/>
  <c r="S33" i="8"/>
  <c r="S15" i="8"/>
  <c r="S14" i="8"/>
  <c r="S39" i="8"/>
  <c r="S52" i="8"/>
  <c r="S55" i="8"/>
  <c r="S58" i="8"/>
  <c r="S40" i="8"/>
  <c r="L31" i="8"/>
  <c r="M30" i="8" s="1"/>
  <c r="N51" i="8"/>
  <c r="O51" i="8" s="1"/>
  <c r="N30" i="8"/>
  <c r="O30" i="8" s="1"/>
  <c r="N5" i="8"/>
  <c r="O5" i="8" s="1"/>
  <c r="M7" i="8"/>
  <c r="O33" i="8"/>
  <c r="N32" i="8"/>
  <c r="O32" i="8" s="1"/>
  <c r="O15" i="8"/>
  <c r="N13" i="8"/>
  <c r="N9" i="8"/>
  <c r="O9" i="8" s="1"/>
  <c r="N8" i="8"/>
  <c r="O8" i="8" s="1"/>
  <c r="N11" i="8"/>
  <c r="O11" i="8" s="1"/>
  <c r="O12" i="8"/>
  <c r="N6" i="8"/>
  <c r="O6" i="8" s="1"/>
  <c r="N7" i="8"/>
  <c r="O7" i="8" s="1"/>
  <c r="N10" i="8" l="1"/>
  <c r="O10" i="8" s="1"/>
  <c r="P9" i="8" s="1"/>
  <c r="N47" i="8"/>
  <c r="O47" i="8" s="1"/>
  <c r="N53" i="8"/>
  <c r="O53" i="8" s="1"/>
  <c r="P53" i="8" s="1"/>
  <c r="N49" i="8"/>
  <c r="O49" i="8" s="1"/>
  <c r="N57" i="8"/>
  <c r="O57" i="8" s="1"/>
  <c r="L37" i="8"/>
  <c r="N37" i="8" s="1"/>
  <c r="O37" i="8" s="1"/>
  <c r="L29" i="8"/>
  <c r="N29" i="8" s="1"/>
  <c r="O29" i="8" s="1"/>
  <c r="N28" i="8"/>
  <c r="O28" i="8" s="1"/>
  <c r="Q20" i="8"/>
  <c r="N31" i="8"/>
  <c r="O31" i="8" s="1"/>
  <c r="U17" i="8" s="1"/>
  <c r="T17" i="8" s="1"/>
  <c r="N34" i="8"/>
  <c r="O34" i="8" s="1"/>
  <c r="N55" i="8"/>
  <c r="O55" i="8" s="1"/>
  <c r="U52" i="8" s="1"/>
  <c r="T52" i="8" s="1"/>
  <c r="N58" i="8"/>
  <c r="O58" i="8" s="1"/>
  <c r="M47" i="8"/>
  <c r="N52" i="8"/>
  <c r="O52" i="8" s="1"/>
  <c r="P51" i="8" s="1"/>
  <c r="N50" i="8"/>
  <c r="O50" i="8" s="1"/>
  <c r="N36" i="8"/>
  <c r="O36" i="8" s="1"/>
  <c r="P11" i="8"/>
  <c r="N26" i="8"/>
  <c r="O26" i="8" s="1"/>
  <c r="O13" i="8"/>
  <c r="M32" i="8"/>
  <c r="M26" i="8"/>
  <c r="P32" i="8"/>
  <c r="M34" i="8"/>
  <c r="P15" i="8"/>
  <c r="M55" i="8"/>
  <c r="M53" i="8"/>
  <c r="M15" i="8"/>
  <c r="P5" i="8"/>
  <c r="M11" i="8"/>
  <c r="M13" i="8"/>
  <c r="Q5" i="8"/>
  <c r="P7" i="8"/>
  <c r="H8" i="4"/>
  <c r="H6" i="4"/>
  <c r="H4" i="4"/>
  <c r="U18" i="8" l="1"/>
  <c r="T18" i="8" s="1"/>
  <c r="Q9" i="8"/>
  <c r="U16" i="8"/>
  <c r="T16" i="8" s="1"/>
  <c r="U15" i="8"/>
  <c r="T15" i="8" s="1"/>
  <c r="U34" i="8"/>
  <c r="T34" i="8" s="1"/>
  <c r="U50" i="8"/>
  <c r="T50" i="8" s="1"/>
  <c r="T63" i="8" s="1"/>
  <c r="U54" i="8"/>
  <c r="T54" i="8" s="1"/>
  <c r="U60" i="8" s="1"/>
  <c r="U53" i="8"/>
  <c r="T53" i="8" s="1"/>
  <c r="U36" i="8"/>
  <c r="Q19" i="8"/>
  <c r="Q18" i="8" s="1"/>
  <c r="Q21" i="8" s="1"/>
  <c r="P47" i="8"/>
  <c r="P49" i="8"/>
  <c r="P57" i="8"/>
  <c r="M36" i="8"/>
  <c r="P36" i="8"/>
  <c r="M28" i="8"/>
  <c r="P28" i="8"/>
  <c r="U32" i="8"/>
  <c r="T32" i="8" s="1"/>
  <c r="Q40" i="8"/>
  <c r="Q62" i="8"/>
  <c r="U57" i="8"/>
  <c r="T57" i="8" s="1"/>
  <c r="U51" i="8"/>
  <c r="T51" i="8" s="1"/>
  <c r="U55" i="8"/>
  <c r="T55" i="8" s="1"/>
  <c r="U58" i="8"/>
  <c r="T58" i="8" s="1"/>
  <c r="T62" i="8" s="1"/>
  <c r="U56" i="8"/>
  <c r="T56" i="8" s="1"/>
  <c r="U14" i="8"/>
  <c r="T14" i="8" s="1"/>
  <c r="P26" i="8"/>
  <c r="Q30" i="8"/>
  <c r="U19" i="8"/>
  <c r="T19" i="8" s="1"/>
  <c r="Q34" i="8"/>
  <c r="P34" i="8"/>
  <c r="Q51" i="8"/>
  <c r="U38" i="8"/>
  <c r="T38" i="8" s="1"/>
  <c r="U33" i="8"/>
  <c r="T33" i="8" s="1"/>
  <c r="P30" i="8"/>
  <c r="U40" i="8"/>
  <c r="T40" i="8" s="1"/>
  <c r="U20" i="8"/>
  <c r="T20" i="8" s="1"/>
  <c r="U22" i="8"/>
  <c r="T22" i="8" s="1"/>
  <c r="U21" i="8"/>
  <c r="T21" i="8" s="1"/>
  <c r="P55" i="8"/>
  <c r="Q61" i="8"/>
  <c r="U39" i="8"/>
  <c r="T39" i="8" s="1"/>
  <c r="U37" i="8"/>
  <c r="T37" i="8" s="1"/>
  <c r="Q55" i="8"/>
  <c r="M57" i="8"/>
  <c r="M49" i="8"/>
  <c r="Q47" i="8"/>
  <c r="M51" i="8"/>
  <c r="U35" i="8"/>
  <c r="T35" i="8" s="1"/>
  <c r="Q41" i="8"/>
  <c r="Q26" i="8"/>
  <c r="Q13" i="8"/>
  <c r="P13" i="8"/>
  <c r="M3" i="4"/>
  <c r="M7" i="4" s="1"/>
  <c r="V10" i="8" l="1"/>
  <c r="U41" i="8"/>
  <c r="V26" i="8"/>
  <c r="U23" i="8"/>
  <c r="U6" i="8" s="1"/>
  <c r="U24" i="8"/>
  <c r="U7" i="8" s="1"/>
  <c r="V50" i="8"/>
  <c r="V32" i="8"/>
  <c r="U59" i="8"/>
  <c r="T45" i="8"/>
  <c r="Q22" i="8"/>
  <c r="Q43" i="8"/>
  <c r="Q64" i="8"/>
  <c r="T27" i="8"/>
  <c r="T26" i="8"/>
  <c r="Q60" i="8"/>
  <c r="Q63" i="8" s="1"/>
  <c r="V27" i="8"/>
  <c r="T44" i="8"/>
  <c r="V63" i="8"/>
  <c r="V62" i="8"/>
  <c r="U42" i="8"/>
  <c r="V45" i="8"/>
  <c r="Q39" i="8"/>
  <c r="Q42" i="8" s="1"/>
  <c r="I10" i="1"/>
  <c r="I11" i="1" s="1"/>
  <c r="T28" i="8" l="1"/>
  <c r="V14" i="8"/>
  <c r="V6" i="8" s="1"/>
  <c r="U8" i="8"/>
  <c r="V44" i="8"/>
  <c r="T46" i="8" s="1"/>
  <c r="V46" i="8" s="1"/>
  <c r="T64" i="8"/>
  <c r="V64" i="8" s="1"/>
  <c r="V28" i="8" l="1"/>
</calcChain>
</file>

<file path=xl/sharedStrings.xml><?xml version="1.0" encoding="utf-8"?>
<sst xmlns="http://schemas.openxmlformats.org/spreadsheetml/2006/main" count="4275" uniqueCount="2068">
  <si>
    <t>WORKBOOK TABLE OF CONTENTS</t>
  </si>
  <si>
    <t>WORKSHEETS</t>
  </si>
  <si>
    <t>DESCRIPTION</t>
  </si>
  <si>
    <t>JRFL Deconfliction</t>
  </si>
  <si>
    <t>Cross-references a frequency range with the attached JRFL, known civilian radio servies, and known friendly forces nets.</t>
  </si>
  <si>
    <t>Direction Finding</t>
  </si>
  <si>
    <t>Provides target emitter MGRS location based on EWT LOBs.</t>
  </si>
  <si>
    <t>MAX LOS Range Calculator</t>
  </si>
  <si>
    <t>Estimates the maximum LOS from transmitter to receiver given a variety of parameters.</t>
  </si>
  <si>
    <t>Jamming Feasibility Calculator</t>
  </si>
  <si>
    <t>Estimates the feasibility of jamming operations given a variety of parameters.</t>
  </si>
  <si>
    <t>Various Calculators</t>
  </si>
  <si>
    <t>A worksheet of various EW-related calculators ranging from radio theory, electronics theory, and unit conversions.</t>
  </si>
  <si>
    <t>JRFL</t>
  </si>
  <si>
    <t>The JRFL being referenced by the JRFL Deconfliction worksheet.</t>
  </si>
  <si>
    <t>BLUEFOR</t>
  </si>
  <si>
    <t>The Friendly Forces frequencies being referenced by the JRFL Deconfliction worksheet.</t>
  </si>
  <si>
    <t>CIVFREQ</t>
  </si>
  <si>
    <t>The civilian radio service frequencies being referenced by the JRFL Deconfliction worksheet.</t>
  </si>
  <si>
    <t>UNCLASSIFIED//FOUO</t>
  </si>
  <si>
    <t>INPUT FREQUENCY RANGE BELOW:</t>
  </si>
  <si>
    <t>Number of JRFL Conflicts:</t>
  </si>
  <si>
    <t>JRFL Conflicts:</t>
  </si>
  <si>
    <t>LOWER FREQ</t>
  </si>
  <si>
    <t>UPPER FREQ</t>
  </si>
  <si>
    <t>Highest Status of JRFL Conflict:</t>
  </si>
  <si>
    <t>Status Description:</t>
  </si>
  <si>
    <t>POSSIBLE CIVILIAN CONFLICTS</t>
  </si>
  <si>
    <t>CONFLICT CHECK</t>
  </si>
  <si>
    <t xml:space="preserve">BLUFOR CONFLICTS </t>
  </si>
  <si>
    <t>Input Parameters</t>
  </si>
  <si>
    <t>Dependent Variable</t>
  </si>
  <si>
    <t>Maximum Line-of-Sight (LOS) Range</t>
  </si>
  <si>
    <t>Transmitter Power (W)</t>
  </si>
  <si>
    <t>Transmitter Power (dBm)</t>
  </si>
  <si>
    <t>Optical LOS</t>
  </si>
  <si>
    <t>Transmitter Gain (dBi)</t>
  </si>
  <si>
    <t>Temperature (°C)</t>
  </si>
  <si>
    <t>Transmitter Height (m)</t>
  </si>
  <si>
    <t>Thermal Noise Floor</t>
  </si>
  <si>
    <t>LOS w/ ducting consideration</t>
  </si>
  <si>
    <t>Frequency (MHz)</t>
  </si>
  <si>
    <t>Optical Limitation (km)</t>
  </si>
  <si>
    <t>Limiting Factor</t>
  </si>
  <si>
    <t>Bandwidth (kHz)</t>
  </si>
  <si>
    <t>Earth Curvature Limitation with ducting (km)</t>
  </si>
  <si>
    <t>Recommended Improvement</t>
  </si>
  <si>
    <t>Receiver Gain (dBi)</t>
  </si>
  <si>
    <t>Path Loss Limitation (km)</t>
  </si>
  <si>
    <t>Receiver Sensitivity (dBm)</t>
  </si>
  <si>
    <t>Path-Loss Coefficient</t>
  </si>
  <si>
    <t>What is the terrain?</t>
  </si>
  <si>
    <t>Receiver Height (m)</t>
  </si>
  <si>
    <t>Weather Coefficient</t>
  </si>
  <si>
    <t>What is the weather?</t>
  </si>
  <si>
    <t>Normal Weather Conditions</t>
  </si>
  <si>
    <t>weather coefficient factors in ducting</t>
  </si>
  <si>
    <t>Temperature (°F)</t>
  </si>
  <si>
    <t>NOTES:</t>
  </si>
  <si>
    <t xml:space="preserve">The major assumption is that there exists a LOS between the transmitter and receiver, without terrain obstruction. </t>
  </si>
  <si>
    <t>The "Earth Curvature Limitation" variable factors in atmospheric refraction.</t>
  </si>
  <si>
    <t>The "Weather Coefficient" variable only affects high frequency (1GHz+) transmissions, specifically microwave data transmissions.</t>
  </si>
  <si>
    <t>LEGEND</t>
  </si>
  <si>
    <t>USER INPUT</t>
  </si>
  <si>
    <t>MOST VALUABLE OUTPUT</t>
  </si>
  <si>
    <t>Radio</t>
  </si>
  <si>
    <t>Antenna</t>
  </si>
  <si>
    <t>Height</t>
  </si>
  <si>
    <t>Mount</t>
  </si>
  <si>
    <t>Gain</t>
  </si>
  <si>
    <t>RF Power Capacity</t>
  </si>
  <si>
    <t>Freq Range</t>
  </si>
  <si>
    <t>OE-254/GRC</t>
  </si>
  <si>
    <t>31ft</t>
  </si>
  <si>
    <t>Fixed -Site</t>
  </si>
  <si>
    <t>350W</t>
  </si>
  <si>
    <t>30-88</t>
  </si>
  <si>
    <t>dBi = dBd + 2.15</t>
  </si>
  <si>
    <t>dBm = dB + 30</t>
  </si>
  <si>
    <t>POWER LEVELS</t>
  </si>
  <si>
    <t>COMM201B/GRC</t>
  </si>
  <si>
    <t>Fixed-Site</t>
  </si>
  <si>
    <t>0dBi</t>
  </si>
  <si>
    <t>200W</t>
  </si>
  <si>
    <t>dB = dBi - 2.15</t>
  </si>
  <si>
    <t>dBd is assumed to be dB</t>
  </si>
  <si>
    <t>L</t>
  </si>
  <si>
    <t>1mW</t>
  </si>
  <si>
    <t>AS-3916/VRC</t>
  </si>
  <si>
    <t>Vehicle-based</t>
  </si>
  <si>
    <t>150W</t>
  </si>
  <si>
    <t>dBi = dB + 2.15</t>
  </si>
  <si>
    <t>M</t>
  </si>
  <si>
    <t>100mW</t>
  </si>
  <si>
    <t>AS-3900A/VRC</t>
  </si>
  <si>
    <t>higher antenna gain = narrower beamwidth</t>
  </si>
  <si>
    <t>H</t>
  </si>
  <si>
    <t>5W</t>
  </si>
  <si>
    <t>AS-4266A/PRC</t>
  </si>
  <si>
    <t>Man-Portable Antenna (8-foot), SINCGARS</t>
  </si>
  <si>
    <t>10W</t>
  </si>
  <si>
    <t>dBi</t>
  </si>
  <si>
    <t>the antenna gain with respect to a theoretical isotropic antenna</t>
  </si>
  <si>
    <t>PA</t>
  </si>
  <si>
    <t>50W</t>
  </si>
  <si>
    <t>AS-3683A/PRC</t>
  </si>
  <si>
    <t>Man-portable, SINCGARS, flex-whip</t>
  </si>
  <si>
    <t>dBd</t>
  </si>
  <si>
    <t>the antenna gain with respect to a reference dipole antenna</t>
  </si>
  <si>
    <t>PRC-152</t>
  </si>
  <si>
    <t>AS-3566</t>
  </si>
  <si>
    <t>30-400</t>
  </si>
  <si>
    <t>MBITR</t>
  </si>
  <si>
    <t>AS-3567</t>
  </si>
  <si>
    <t>6dB &lt;318MHz, 5dB otherwise</t>
  </si>
  <si>
    <t>225-400</t>
  </si>
  <si>
    <t>PRC-117G</t>
  </si>
  <si>
    <t>AS-3568</t>
  </si>
  <si>
    <t>8dB &lt;318MHz, 6dB otherwise</t>
  </si>
  <si>
    <t>140W</t>
  </si>
  <si>
    <t>PRC-150</t>
  </si>
  <si>
    <t>PRC-117F</t>
  </si>
  <si>
    <t>Intended Signal Inputs</t>
  </si>
  <si>
    <t>Jammer Input Inputs</t>
  </si>
  <si>
    <t>Target Receiver Inputs</t>
  </si>
  <si>
    <t>Dependent Variables</t>
  </si>
  <si>
    <t>J (dB)</t>
  </si>
  <si>
    <t>S (dB)</t>
  </si>
  <si>
    <t>J/S (dB)</t>
  </si>
  <si>
    <t>Jammer Power Output (W)</t>
  </si>
  <si>
    <t>Relative Elevation between receiver and  Jammer (m)</t>
  </si>
  <si>
    <t>Jamming Antenna Gain (dBi)</t>
  </si>
  <si>
    <t>Relative Elevation between Receiver and  Intended Transmitter (m)</t>
  </si>
  <si>
    <t>Jammer Power (dBm)</t>
  </si>
  <si>
    <t>Distance to Jammer (km)</t>
  </si>
  <si>
    <t>Adjusted Distance to Jammer (km)</t>
  </si>
  <si>
    <t>Feasability of Jamming Operation</t>
  </si>
  <si>
    <t>Distance from Receiver to Intended Transmitter (km)</t>
  </si>
  <si>
    <t>Adjusted Distance to Intended Transmitter (km)</t>
  </si>
  <si>
    <t>Receiver Gain to Jamming Signal (dBi)</t>
  </si>
  <si>
    <t xml:space="preserve">Military receivers often require a J/S ratio of 10 dB to effectively deny, though digital signals and receivers without A/J technology can be theoretically degraded (if not denied) with a J/S ratio of just 1 dB. </t>
  </si>
  <si>
    <t>Receiver Gain to Intended Signal (dBi)</t>
  </si>
  <si>
    <r>
      <rPr>
        <b/>
        <sz val="12"/>
        <color theme="1"/>
        <rFont val="Arial"/>
        <family val="2"/>
      </rPr>
      <t>GNSS Jamming:</t>
    </r>
    <r>
      <rPr>
        <sz val="12"/>
        <color theme="1"/>
        <rFont val="Arial"/>
        <family val="2"/>
      </rPr>
      <t xml:space="preserve"> P(Y)-equivalent requires a J/S of ~57 dB to deny track and ~40 dB to prevent acquisition. C/A-equivalent requires a J/S of ~47 dB to deny track and ~30 dB to prevent acquisition. Jamming must cover the signal's entire bandwidth. </t>
    </r>
  </si>
  <si>
    <t>Required J/S to Jam (dB)</t>
  </si>
  <si>
    <t>OPTIMAL ANTENNA LENGTH BASED ON TARGET FREQUENCY</t>
  </si>
  <si>
    <r>
      <rPr>
        <i/>
        <sz val="8"/>
        <color theme="1"/>
        <rFont val="Arial"/>
        <family val="2"/>
      </rPr>
      <t>USE CASE:</t>
    </r>
    <r>
      <rPr>
        <sz val="8"/>
        <color theme="1"/>
        <rFont val="Arial"/>
        <family val="2"/>
      </rPr>
      <t xml:space="preserve"> Operator must adjust length of antenna to acquire optimal gain against target frequency</t>
    </r>
  </si>
  <si>
    <t>INPUT</t>
  </si>
  <si>
    <t>OUTPUT</t>
  </si>
  <si>
    <r>
      <rPr>
        <vertAlign val="superscript"/>
        <sz val="10"/>
        <color theme="1"/>
        <rFont val="Arial"/>
        <family val="2"/>
      </rPr>
      <t>3</t>
    </r>
    <r>
      <rPr>
        <sz val="10"/>
        <color theme="1"/>
        <rFont val="Arial"/>
        <family val="2"/>
      </rPr>
      <t>/</t>
    </r>
    <r>
      <rPr>
        <vertAlign val="subscript"/>
        <sz val="10"/>
        <color theme="1"/>
        <rFont val="Arial"/>
        <family val="2"/>
      </rPr>
      <t xml:space="preserve">2 </t>
    </r>
    <r>
      <rPr>
        <sz val="10"/>
        <color theme="1"/>
        <rFont val="Arial"/>
        <family val="2"/>
      </rPr>
      <t>λ Antenna</t>
    </r>
  </si>
  <si>
    <t>λ Antenna</t>
  </si>
  <si>
    <r>
      <rPr>
        <vertAlign val="superscript"/>
        <sz val="10"/>
        <color theme="1"/>
        <rFont val="Arial"/>
        <family val="2"/>
      </rPr>
      <t>5</t>
    </r>
    <r>
      <rPr>
        <sz val="10"/>
        <color theme="1"/>
        <rFont val="Arial"/>
        <family val="2"/>
      </rPr>
      <t>/</t>
    </r>
    <r>
      <rPr>
        <vertAlign val="subscript"/>
        <sz val="10"/>
        <color theme="1"/>
        <rFont val="Arial"/>
        <family val="2"/>
      </rPr>
      <t xml:space="preserve">8 </t>
    </r>
    <r>
      <rPr>
        <sz val="10"/>
        <color theme="1"/>
        <rFont val="Arial"/>
        <family val="2"/>
      </rPr>
      <t>λ Antenna</t>
    </r>
  </si>
  <si>
    <r>
      <rPr>
        <vertAlign val="superscript"/>
        <sz val="10"/>
        <color theme="1"/>
        <rFont val="Arial"/>
        <family val="2"/>
      </rPr>
      <t>1</t>
    </r>
    <r>
      <rPr>
        <sz val="10"/>
        <color theme="1"/>
        <rFont val="Arial"/>
        <family val="2"/>
      </rPr>
      <t>/</t>
    </r>
    <r>
      <rPr>
        <vertAlign val="subscript"/>
        <sz val="10"/>
        <color theme="1"/>
        <rFont val="Arial"/>
        <family val="2"/>
      </rPr>
      <t xml:space="preserve">2 </t>
    </r>
    <r>
      <rPr>
        <sz val="10"/>
        <color theme="1"/>
        <rFont val="Arial"/>
        <family val="2"/>
      </rPr>
      <t>λ Antenna</t>
    </r>
  </si>
  <si>
    <r>
      <rPr>
        <vertAlign val="superscript"/>
        <sz val="10"/>
        <color theme="1"/>
        <rFont val="Arial"/>
        <family val="2"/>
      </rPr>
      <t>1</t>
    </r>
    <r>
      <rPr>
        <sz val="10"/>
        <color theme="1"/>
        <rFont val="Arial"/>
        <family val="2"/>
      </rPr>
      <t>/</t>
    </r>
    <r>
      <rPr>
        <vertAlign val="subscript"/>
        <sz val="10"/>
        <color theme="1"/>
        <rFont val="Arial"/>
        <family val="2"/>
      </rPr>
      <t>4</t>
    </r>
    <r>
      <rPr>
        <sz val="10"/>
        <color theme="1"/>
        <rFont val="Arial"/>
        <family val="2"/>
      </rPr>
      <t xml:space="preserve"> λ Antenna</t>
    </r>
  </si>
  <si>
    <r>
      <rPr>
        <vertAlign val="superscript"/>
        <sz val="10"/>
        <color theme="1"/>
        <rFont val="Arial"/>
        <family val="2"/>
      </rPr>
      <t>1</t>
    </r>
    <r>
      <rPr>
        <sz val="10"/>
        <color theme="1"/>
        <rFont val="Arial"/>
        <family val="2"/>
      </rPr>
      <t>/</t>
    </r>
    <r>
      <rPr>
        <vertAlign val="subscript"/>
        <sz val="10"/>
        <color theme="1"/>
        <rFont val="Arial"/>
        <family val="2"/>
      </rPr>
      <t>6</t>
    </r>
    <r>
      <rPr>
        <sz val="10"/>
        <color theme="1"/>
        <rFont val="Arial"/>
        <family val="2"/>
      </rPr>
      <t xml:space="preserve"> λ Antenna</t>
    </r>
  </si>
  <si>
    <r>
      <rPr>
        <vertAlign val="superscript"/>
        <sz val="10"/>
        <color theme="1"/>
        <rFont val="Arial"/>
        <family val="2"/>
      </rPr>
      <t>1</t>
    </r>
    <r>
      <rPr>
        <sz val="10"/>
        <color theme="1"/>
        <rFont val="Arial"/>
        <family val="2"/>
      </rPr>
      <t>/</t>
    </r>
    <r>
      <rPr>
        <vertAlign val="subscript"/>
        <sz val="10"/>
        <color theme="1"/>
        <rFont val="Arial"/>
        <family val="2"/>
      </rPr>
      <t>9</t>
    </r>
    <r>
      <rPr>
        <sz val="10"/>
        <color theme="1"/>
        <rFont val="Arial"/>
        <family val="2"/>
      </rPr>
      <t xml:space="preserve"> λ Antenna</t>
    </r>
  </si>
  <si>
    <t>Monopole</t>
  </si>
  <si>
    <t>Dipole Leg</t>
  </si>
  <si>
    <t>COMMON APPLICATIONS</t>
  </si>
  <si>
    <t>Static-Site High-Gain Antennas (rare)</t>
  </si>
  <si>
    <t>Static-Site Antennas (rare for sub-UHF applications)</t>
  </si>
  <si>
    <r>
      <t xml:space="preserve">Improves two-way radio communications (~4 dB gain over </t>
    </r>
    <r>
      <rPr>
        <vertAlign val="superscript"/>
        <sz val="10"/>
        <color theme="1"/>
        <rFont val="Arial"/>
        <family val="2"/>
      </rPr>
      <t>1</t>
    </r>
    <r>
      <rPr>
        <sz val="10"/>
        <color theme="1"/>
        <rFont val="Arial"/>
        <family val="2"/>
      </rPr>
      <t>/</t>
    </r>
    <r>
      <rPr>
        <vertAlign val="subscript"/>
        <sz val="10"/>
        <color theme="1"/>
        <rFont val="Arial"/>
        <family val="2"/>
      </rPr>
      <t xml:space="preserve">4 </t>
    </r>
    <r>
      <rPr>
        <sz val="10"/>
        <color theme="1"/>
        <rFont val="Arial"/>
        <family val="2"/>
      </rPr>
      <t>λ antennas)</t>
    </r>
  </si>
  <si>
    <t>Ideal for dipole antennas, common for VHF comms in military tactical vehicles</t>
  </si>
  <si>
    <t>Mobile communications, internet networks, Radio Broadcast (ease of use)</t>
  </si>
  <si>
    <t xml:space="preserve"> Small HAM Radios &amp; Vehicle-based CB Radios</t>
  </si>
  <si>
    <t>MOST LIKELY FREQUENCY IN-USE BASED ON ANTENNA LENGTH</t>
  </si>
  <si>
    <r>
      <rPr>
        <i/>
        <sz val="8"/>
        <color theme="1"/>
        <rFont val="Arial"/>
        <family val="2"/>
      </rPr>
      <t>USE CASE:</t>
    </r>
    <r>
      <rPr>
        <sz val="8"/>
        <color theme="1"/>
        <rFont val="Arial"/>
        <family val="2"/>
      </rPr>
      <t xml:space="preserve"> Operator must estimate what frequency an antenna is targeting based solely on antenna length</t>
    </r>
  </si>
  <si>
    <t>Total Antenna Length (m)</t>
  </si>
  <si>
    <t>Ideal for dipole antennas</t>
  </si>
  <si>
    <t>UNIT CONVERSION CALCULATORS</t>
  </si>
  <si>
    <t>FIELD ARTILLERY CALCULATORS</t>
  </si>
  <si>
    <t>Power</t>
  </si>
  <si>
    <t>Watts (W)</t>
  </si>
  <si>
    <t>TO</t>
  </si>
  <si>
    <t>Decibel Milliwatts (dBm)</t>
  </si>
  <si>
    <t>Direction</t>
  </si>
  <si>
    <t>Mils</t>
  </si>
  <si>
    <t>Degrees (°)</t>
  </si>
  <si>
    <t>Antenna Gain</t>
  </si>
  <si>
    <t>Resection from known points</t>
  </si>
  <si>
    <t>Known Point 1</t>
  </si>
  <si>
    <t>AND</t>
  </si>
  <si>
    <t>Known Point 2</t>
  </si>
  <si>
    <t>5-Digit Easting</t>
  </si>
  <si>
    <t>5-Digit Northing</t>
  </si>
  <si>
    <t>Azimuth to Point</t>
  </si>
  <si>
    <t>Short Length</t>
  </si>
  <si>
    <t>Feet (ft.)</t>
  </si>
  <si>
    <t>Meters (m)</t>
  </si>
  <si>
    <t>My 10-Digit MGRS Grid Location</t>
  </si>
  <si>
    <t>Distance</t>
  </si>
  <si>
    <t>Kilometers (km)</t>
  </si>
  <si>
    <t>Miles (mi)</t>
  </si>
  <si>
    <t>distance to target calc given known target height, height in mils</t>
  </si>
  <si>
    <t>target grid given distance to target, my grid, azimuth to target</t>
  </si>
  <si>
    <t>Land Area</t>
  </si>
  <si>
    <t>Acres</t>
  </si>
  <si>
    <t>Square Kilometers (km2)</t>
  </si>
  <si>
    <t>Speed</t>
  </si>
  <si>
    <t>Kilometers per Hour (kph)</t>
  </si>
  <si>
    <t>Miles per Hour (mph)</t>
  </si>
  <si>
    <t>Temperature</t>
  </si>
  <si>
    <t>Celsius (°C)</t>
  </si>
  <si>
    <t>Fahrenheit (°F)</t>
  </si>
  <si>
    <t>Mass</t>
  </si>
  <si>
    <t>Kilograms (kg)</t>
  </si>
  <si>
    <t>Pounds (lbs)</t>
  </si>
  <si>
    <t>OPERATOR INPUTS</t>
  </si>
  <si>
    <t>Assumptions</t>
  </si>
  <si>
    <t>OUTPUTS</t>
  </si>
  <si>
    <t>EWT 1 LOBs</t>
  </si>
  <si>
    <t>Min ERP (W)</t>
  </si>
  <si>
    <t>EW PLT Direction-Finding (DF) Results</t>
  </si>
  <si>
    <t>F (MHz)</t>
  </si>
  <si>
    <t>MGRS Easting (1st five)</t>
  </si>
  <si>
    <t>MGRS Northing (last five)</t>
  </si>
  <si>
    <t>Azimuth (°)</t>
  </si>
  <si>
    <t>Received Power (dBm)</t>
  </si>
  <si>
    <t>Max ERP (W)</t>
  </si>
  <si>
    <t>Error Considerations</t>
  </si>
  <si>
    <t>E/N Distance (km)</t>
  </si>
  <si>
    <t>E/N Adj.</t>
  </si>
  <si>
    <t>Adj. MGRS</t>
  </si>
  <si>
    <t>Target's Estimated 10-Digit Grid(s)</t>
  </si>
  <si>
    <t>Coefficients &amp; Dependent Variables</t>
  </si>
  <si>
    <t>Target Distance from EWTs</t>
  </si>
  <si>
    <t>BEST Target 10-Digit Grid</t>
  </si>
  <si>
    <t>MGRS Designator</t>
  </si>
  <si>
    <t>17R MR</t>
  </si>
  <si>
    <t>Northing Coeff.</t>
  </si>
  <si>
    <t>Easting Coeff.</t>
  </si>
  <si>
    <t>Path Loss Coeff.</t>
  </si>
  <si>
    <t>DF STATUS</t>
  </si>
  <si>
    <t>Error (acres)</t>
  </si>
  <si>
    <t>Scale Coeff.</t>
  </si>
  <si>
    <t>Error (radius)</t>
  </si>
  <si>
    <t>DF Error (° RMS)</t>
  </si>
  <si>
    <t>Left-Bound Azimuth (rad)</t>
  </si>
  <si>
    <t>Azimuth (rad)</t>
  </si>
  <si>
    <t>Error Combos</t>
  </si>
  <si>
    <t>Easting</t>
  </si>
  <si>
    <t>Northing</t>
  </si>
  <si>
    <t>Target's 10-Digit CUT</t>
  </si>
  <si>
    <t>Right-Bound Azimuth (rad)</t>
  </si>
  <si>
    <t>Min Distance (km)</t>
  </si>
  <si>
    <t>Max Distance (km)</t>
  </si>
  <si>
    <t>Depth Error (m)</t>
  </si>
  <si>
    <t>CENTER</t>
  </si>
  <si>
    <t>Near-Width Error (m)</t>
  </si>
  <si>
    <t>Far-Width Error (m)</t>
  </si>
  <si>
    <t>Max Area (acres)</t>
  </si>
  <si>
    <t>Center-Point Area (acres)</t>
  </si>
  <si>
    <t>EWT 2 LOBs</t>
  </si>
  <si>
    <t>Near/Far Length (m)</t>
  </si>
  <si>
    <t>Near/Far Width (m)</t>
  </si>
  <si>
    <t>Total Error (acres)</t>
  </si>
  <si>
    <t>EWT 3 LOBs</t>
  </si>
  <si>
    <r>
      <rPr>
        <b/>
        <sz val="12"/>
        <color theme="1"/>
        <rFont val="Arial"/>
        <family val="2"/>
      </rPr>
      <t>A note on DF Error:</t>
    </r>
    <r>
      <rPr>
        <sz val="12"/>
        <color theme="1"/>
        <rFont val="Arial"/>
        <family val="2"/>
      </rPr>
      <t xml:space="preserve"> DF Error is measured in degrees (°) RMS (root mean squared) which sums the square of all direction finding error obtained from testing, divides that quantity by the number of tests to find the average square, then finds the square root of the average square to get the RMS. It might be easier to think of it as the average absolute error. </t>
    </r>
    <r>
      <rPr>
        <b/>
        <u/>
        <sz val="12"/>
        <color theme="1"/>
        <rFont val="Arial"/>
        <family val="2"/>
      </rPr>
      <t>WE MAKE AN ASSUMPTION</t>
    </r>
    <r>
      <rPr>
        <sz val="12"/>
        <color theme="1"/>
        <rFont val="Arial"/>
        <family val="2"/>
      </rPr>
      <t xml:space="preserve"> that the DF error is equally balanced to the right and left relative to the true direction of the target emitter. In reality, saying an RMS error of 6° is NOT the same as saying </t>
    </r>
    <r>
      <rPr>
        <sz val="12"/>
        <color theme="1"/>
        <rFont val="Calibri"/>
        <family val="2"/>
      </rPr>
      <t>±</t>
    </r>
    <r>
      <rPr>
        <sz val="12"/>
        <color theme="1"/>
        <rFont val="Arial"/>
        <family val="2"/>
      </rPr>
      <t>6° because the distribution of error may be skewed to the left or right of the true direction. However, unless we conduct system tests ourselves or get a thorough testing write-up from the vendor, we are forced to assume the error is equal on both sides of the true direction.</t>
    </r>
  </si>
  <si>
    <t>create a mechanism that compares easting and northing coefficients with the different from EWT grid and target grid to determine if the target grid is a reverse-intersection or a normal intersection (gives insight to intersection feasbility)</t>
  </si>
  <si>
    <t>just like how if two EWT's azimuths are the same an error occurs, if the left effor and the right error of the two EWTs are the same the same error occurs; this occurs when the difference in grid azimuths from the teams is 2x the error</t>
  </si>
  <si>
    <t xml:space="preserve">create an easier method of create jrfl and CERF by having the input be placed in a more logical, easy-to-read format and then populate the CERF on request </t>
  </si>
  <si>
    <t>create a series of calculators ISO calling for fire on a target</t>
  </si>
  <si>
    <t>NET</t>
  </si>
  <si>
    <t>STATUS (T/P/G/U)</t>
  </si>
  <si>
    <t>FREQUENCY</t>
  </si>
  <si>
    <t>EMISSION SYSTEM</t>
  </si>
  <si>
    <t>EMISSION PLATFORM</t>
  </si>
  <si>
    <t>SCLA VCV FM</t>
  </si>
  <si>
    <t>PROTECTED</t>
  </si>
  <si>
    <t>M36.1</t>
  </si>
  <si>
    <t>SINCGARS</t>
  </si>
  <si>
    <t>GROUND &amp; AIR</t>
  </si>
  <si>
    <t>EAGLE 2</t>
  </si>
  <si>
    <t>M36.3</t>
  </si>
  <si>
    <t>EAGLE 1</t>
  </si>
  <si>
    <t>M38.1</t>
  </si>
  <si>
    <t>MEDEVAC</t>
  </si>
  <si>
    <t>TABOO</t>
  </si>
  <si>
    <t>M38.9</t>
  </si>
  <si>
    <t>CRASH RESCUE</t>
  </si>
  <si>
    <t>M41.55</t>
  </si>
  <si>
    <t>STOP BUZZER</t>
  </si>
  <si>
    <t>M41.95</t>
  </si>
  <si>
    <t>DESERT RADIO FM</t>
  </si>
  <si>
    <t>M66.1</t>
  </si>
  <si>
    <t>BLAAF BASE OPS</t>
  </si>
  <si>
    <t>M66.3</t>
  </si>
  <si>
    <t>DIVARTY CMD</t>
  </si>
  <si>
    <t>M66.45</t>
  </si>
  <si>
    <t>PMSV ALT</t>
  </si>
  <si>
    <t>M66.9</t>
  </si>
  <si>
    <t>ZULUTAC/LIVFIRE</t>
  </si>
  <si>
    <t>M67.1</t>
  </si>
  <si>
    <t>DIVISION FS</t>
  </si>
  <si>
    <t>M67.2</t>
  </si>
  <si>
    <t>ZULUTAC/P LINE X</t>
  </si>
  <si>
    <t>M67.6</t>
  </si>
  <si>
    <t>DAG AVCO HAWK86</t>
  </si>
  <si>
    <t>M69.35</t>
  </si>
  <si>
    <t>PMSV PRI</t>
  </si>
  <si>
    <t>M69.95</t>
  </si>
  <si>
    <t>DIVISION CMD</t>
  </si>
  <si>
    <t>M70.1</t>
  </si>
  <si>
    <t>M60-M88</t>
  </si>
  <si>
    <t>M60-88</t>
  </si>
  <si>
    <t>VCV VOR / ILS A</t>
  </si>
  <si>
    <t>M108.75</t>
  </si>
  <si>
    <t>PRC-113</t>
  </si>
  <si>
    <t>VCV VOR / ILS B</t>
  </si>
  <si>
    <t>M109.4</t>
  </si>
  <si>
    <t>DAG VOR</t>
  </si>
  <si>
    <t>M113.2</t>
  </si>
  <si>
    <t>VCV TOWER</t>
  </si>
  <si>
    <t>M118.35</t>
  </si>
  <si>
    <t>AVN EMERGENCY GRD VHF</t>
  </si>
  <si>
    <t>M121.5</t>
  </si>
  <si>
    <t>GROUND</t>
  </si>
  <si>
    <t>DAG UCOM/ASOS A</t>
  </si>
  <si>
    <t>M123</t>
  </si>
  <si>
    <t>JOSHUA APPCH VHF</t>
  </si>
  <si>
    <t>M124.55</t>
  </si>
  <si>
    <t>DES RADIO CENTV</t>
  </si>
  <si>
    <t>M126.2</t>
  </si>
  <si>
    <t>DAG UCOM/ASOS B</t>
  </si>
  <si>
    <t>M132.175</t>
  </si>
  <si>
    <t>LA CENTER VHF</t>
  </si>
  <si>
    <t>M132.5</t>
  </si>
  <si>
    <t>TACP ADMIN SEC</t>
  </si>
  <si>
    <t>M138.3125</t>
  </si>
  <si>
    <t>TACP ADMIN PRI</t>
  </si>
  <si>
    <t>M139.075</t>
  </si>
  <si>
    <t>GRIFFON VHF 1</t>
  </si>
  <si>
    <t>M139.1</t>
  </si>
  <si>
    <t>ASOC BLKBRD SEC</t>
  </si>
  <si>
    <t>M139.125</t>
  </si>
  <si>
    <t>MIAMI TWR VHF</t>
  </si>
  <si>
    <t>M139.25</t>
  </si>
  <si>
    <t>RAPTOR VHF 1</t>
  </si>
  <si>
    <t>M139.65</t>
  </si>
  <si>
    <t>THREAT WARNING</t>
  </si>
  <si>
    <t>M139.975</t>
  </si>
  <si>
    <t>GRN FLG OPS SEC</t>
  </si>
  <si>
    <t>M140.125</t>
  </si>
  <si>
    <t>REDTAIL VHF 1</t>
  </si>
  <si>
    <t>M140.15</t>
  </si>
  <si>
    <t>SOKOL VHF 1</t>
  </si>
  <si>
    <t>M141.725</t>
  </si>
  <si>
    <t>12CTS EXT SCNRO2</t>
  </si>
  <si>
    <t>M141.875</t>
  </si>
  <si>
    <t>ADMINISTRATIVE</t>
  </si>
  <si>
    <t>M143.3125</t>
  </si>
  <si>
    <t>SCLA VCV VHF</t>
  </si>
  <si>
    <t>M148.675</t>
  </si>
  <si>
    <t>JTAC/FAC A PRI</t>
  </si>
  <si>
    <t>M149.25</t>
  </si>
  <si>
    <t>COMPASS CALL ALT</t>
  </si>
  <si>
    <t>M225.125</t>
  </si>
  <si>
    <t>EAGLE UHF 3</t>
  </si>
  <si>
    <t>M226.375</t>
  </si>
  <si>
    <t>MIAMI TWR UHF</t>
  </si>
  <si>
    <t>M232.8</t>
  </si>
  <si>
    <t>ISABELLA AAR</t>
  </si>
  <si>
    <t>M234.82</t>
  </si>
  <si>
    <t>EXERCISE STRIKE 1</t>
  </si>
  <si>
    <t>M238.325</t>
  </si>
  <si>
    <t>EAGLE UHF 1</t>
  </si>
  <si>
    <t>M238.375</t>
  </si>
  <si>
    <t>VHF ATIS</t>
  </si>
  <si>
    <t>M239.275</t>
  </si>
  <si>
    <t>SAR-B</t>
  </si>
  <si>
    <t>M241.3</t>
  </si>
  <si>
    <t>EXERCISE STRIKE 2</t>
  </si>
  <si>
    <t>M241.7</t>
  </si>
  <si>
    <t>AVN EMERGENCY GRD UHF</t>
  </si>
  <si>
    <t>M243</t>
  </si>
  <si>
    <t>GRN FLG OPS PRI</t>
  </si>
  <si>
    <t>M251.2</t>
  </si>
  <si>
    <t>EAGLE UHF 2</t>
  </si>
  <si>
    <t>M252.025</t>
  </si>
  <si>
    <t>COALDALE AAR</t>
  </si>
  <si>
    <t>M252.175</t>
  </si>
  <si>
    <t>C2ISR VPN</t>
  </si>
  <si>
    <t>M252.35</t>
  </si>
  <si>
    <t>EAGLE UHF 4</t>
  </si>
  <si>
    <t>M255.7</t>
  </si>
  <si>
    <t>CRC SUNDANCE</t>
  </si>
  <si>
    <t>M264.125</t>
  </si>
  <si>
    <t>DES RADIO SOUU</t>
  </si>
  <si>
    <t>M267.275</t>
  </si>
  <si>
    <t>SAR-A</t>
  </si>
  <si>
    <t>M268</t>
  </si>
  <si>
    <t>LINUS AAR</t>
  </si>
  <si>
    <t>M272.175</t>
  </si>
  <si>
    <t>DES RADIO CENTU</t>
  </si>
  <si>
    <t>M281.45</t>
  </si>
  <si>
    <t>EXERCISE STRIKE 5</t>
  </si>
  <si>
    <t>M282.125</t>
  </si>
  <si>
    <t>LA CENTER UHF</t>
  </si>
  <si>
    <t>M284.7</t>
  </si>
  <si>
    <t>SCLA VCV UHF</t>
  </si>
  <si>
    <t>M293</t>
  </si>
  <si>
    <t>DES RADIO NORTH</t>
  </si>
  <si>
    <t>M302.3</t>
  </si>
  <si>
    <t>ASOC BLKBRD PRI</t>
  </si>
  <si>
    <t>M304.6</t>
  </si>
  <si>
    <t>LEACH LK STRIKE</t>
  </si>
  <si>
    <t>M310.35</t>
  </si>
  <si>
    <t>EXERCISE STRIKE 3</t>
  </si>
  <si>
    <t>M314.175</t>
  </si>
  <si>
    <t>COMPASS CALL PRI</t>
  </si>
  <si>
    <t>M336.5</t>
  </si>
  <si>
    <t>EXERCISE STRIKE 4</t>
  </si>
  <si>
    <t>M339.95</t>
  </si>
  <si>
    <t>JOSHUA APPCH UHF</t>
  </si>
  <si>
    <t>M363</t>
  </si>
  <si>
    <t>DIVISION CMD UHF</t>
  </si>
  <si>
    <t>M372.85</t>
  </si>
  <si>
    <t>LECH LK STRK 17</t>
  </si>
  <si>
    <t>M381.1</t>
  </si>
  <si>
    <t>12CTS EXT SCNRIO</t>
  </si>
  <si>
    <t>M387.875</t>
  </si>
  <si>
    <t>SUNDANCEADVISORY</t>
  </si>
  <si>
    <t>M398.15</t>
  </si>
  <si>
    <t>GREY EAGLE DN3</t>
  </si>
  <si>
    <t>M14715</t>
  </si>
  <si>
    <t>MQ-1C</t>
  </si>
  <si>
    <t>GREY EAGLE DN2</t>
  </si>
  <si>
    <t>M14770</t>
  </si>
  <si>
    <t>GREY EAGLE DN1</t>
  </si>
  <si>
    <t>M14790</t>
  </si>
  <si>
    <t>GREY EAGLE UP2</t>
  </si>
  <si>
    <t>M15165</t>
  </si>
  <si>
    <t>LOS UP 3</t>
  </si>
  <si>
    <t>M15175</t>
  </si>
  <si>
    <t>GREY EAGLE UP1</t>
  </si>
  <si>
    <t>M15205</t>
  </si>
  <si>
    <t>PRC-133</t>
  </si>
  <si>
    <t>GREY EAGLE RADAR</t>
  </si>
  <si>
    <t>M16740</t>
  </si>
  <si>
    <t>HF 34</t>
  </si>
  <si>
    <t>M1.08135-3.08135</t>
  </si>
  <si>
    <t>HF 21</t>
  </si>
  <si>
    <t>M2.2435-4.2435</t>
  </si>
  <si>
    <t>HF 23</t>
  </si>
  <si>
    <t>M2.246-4.246</t>
  </si>
  <si>
    <t>HF 20</t>
  </si>
  <si>
    <t>M2.257-4.257</t>
  </si>
  <si>
    <t>HF 19</t>
  </si>
  <si>
    <t>M2.273-4.273</t>
  </si>
  <si>
    <t>HF 22</t>
  </si>
  <si>
    <t>M2.287-4.287</t>
  </si>
  <si>
    <t>HF 24</t>
  </si>
  <si>
    <t>M2.346-4.346</t>
  </si>
  <si>
    <t>HF 25</t>
  </si>
  <si>
    <t>M2.348-4.348</t>
  </si>
  <si>
    <t>HF 18</t>
  </si>
  <si>
    <t>M3.001-5.001</t>
  </si>
  <si>
    <t>HF 12</t>
  </si>
  <si>
    <t>M3.022-5.022</t>
  </si>
  <si>
    <t>HF 13</t>
  </si>
  <si>
    <t>M3.025-5.025</t>
  </si>
  <si>
    <t>HF 14</t>
  </si>
  <si>
    <t>M3.028-5.028</t>
  </si>
  <si>
    <t>HF 15</t>
  </si>
  <si>
    <t>M3.031-5.031</t>
  </si>
  <si>
    <t>HF 16</t>
  </si>
  <si>
    <t>M3.034-5.034</t>
  </si>
  <si>
    <t>HF 17</t>
  </si>
  <si>
    <t>M3.037-5.037</t>
  </si>
  <si>
    <t>ASOS  HF 3 N</t>
  </si>
  <si>
    <t>M3.44-5.44</t>
  </si>
  <si>
    <t>ASOS  HF 1 D</t>
  </si>
  <si>
    <t>M3.446-5.446</t>
  </si>
  <si>
    <t>ASOS  HF 1 M</t>
  </si>
  <si>
    <t>M3.791-5.791</t>
  </si>
  <si>
    <t>HF 7</t>
  </si>
  <si>
    <t>M3.92-5.92</t>
  </si>
  <si>
    <t>HF 8</t>
  </si>
  <si>
    <t>M4.113-6.113</t>
  </si>
  <si>
    <t>HF 9</t>
  </si>
  <si>
    <t>M4.116-6.116</t>
  </si>
  <si>
    <t>HF 10</t>
  </si>
  <si>
    <t>M4.203-6.203</t>
  </si>
  <si>
    <t>HF 11</t>
  </si>
  <si>
    <t>M4.206-6.206</t>
  </si>
  <si>
    <t>ASOS  HF 1 N</t>
  </si>
  <si>
    <t>M4.218-6.218</t>
  </si>
  <si>
    <t>ASOS  HF 2 D</t>
  </si>
  <si>
    <t>M4.396-6.396</t>
  </si>
  <si>
    <t>ASOS  HF 2 M</t>
  </si>
  <si>
    <t>M6.361-8.361</t>
  </si>
  <si>
    <t>ASOS  HF 2 N</t>
  </si>
  <si>
    <t>M6.405-8.405</t>
  </si>
  <si>
    <t>ASOS  HF 3 D</t>
  </si>
  <si>
    <t>M7.038-9.038</t>
  </si>
  <si>
    <t>ASOS  HF 3 M</t>
  </si>
  <si>
    <t>M7.067-9.067</t>
  </si>
  <si>
    <t>HF 1</t>
  </si>
  <si>
    <t>M8.182-10.182</t>
  </si>
  <si>
    <t>HF 3</t>
  </si>
  <si>
    <t>M8.261-10.261</t>
  </si>
  <si>
    <t>HF 5</t>
  </si>
  <si>
    <t>M8.305-10.305</t>
  </si>
  <si>
    <t>HF 2</t>
  </si>
  <si>
    <t>M8.419-10.419</t>
  </si>
  <si>
    <t>HF 4</t>
  </si>
  <si>
    <t>M8.81-10.81</t>
  </si>
  <si>
    <t>HF 6</t>
  </si>
  <si>
    <t>M8.99-10.99</t>
  </si>
  <si>
    <t>HF 38</t>
  </si>
  <si>
    <t>M16.444-18.444</t>
  </si>
  <si>
    <t>HF 36</t>
  </si>
  <si>
    <t>M16.459-18.459</t>
  </si>
  <si>
    <t>HF 37</t>
  </si>
  <si>
    <t>M16.498-18.498</t>
  </si>
  <si>
    <t>HF 39</t>
  </si>
  <si>
    <t>M16.501-18.501</t>
  </si>
  <si>
    <t>HF 40</t>
  </si>
  <si>
    <t>M16.52-18.52</t>
  </si>
  <si>
    <t>HF 33</t>
  </si>
  <si>
    <t>M23.012-25.012</t>
  </si>
  <si>
    <t>HF 31</t>
  </si>
  <si>
    <t>M23.197-25.197</t>
  </si>
  <si>
    <t>HF 30</t>
  </si>
  <si>
    <t>M23.56-25.56</t>
  </si>
  <si>
    <t>HF 29</t>
  </si>
  <si>
    <t>M23.761-25.761</t>
  </si>
  <si>
    <t>HF 28</t>
  </si>
  <si>
    <t>M23.86-25.86</t>
  </si>
  <si>
    <t>HF 27</t>
  </si>
  <si>
    <t>M26.565-28.565</t>
  </si>
  <si>
    <t>HF 26</t>
  </si>
  <si>
    <t>M26.78-28.78</t>
  </si>
  <si>
    <t>HF 35</t>
  </si>
  <si>
    <t>M26.992-28.992</t>
  </si>
  <si>
    <t>DIV FIRES VOICE</t>
  </si>
  <si>
    <t>M29.025-31.025</t>
  </si>
  <si>
    <t>52 USN TM1 ALT</t>
  </si>
  <si>
    <t>M29.075-31.075</t>
  </si>
  <si>
    <t>52 SF TM1 CMD</t>
  </si>
  <si>
    <t>M29.125-31.125</t>
  </si>
  <si>
    <t>SC FM 6</t>
  </si>
  <si>
    <t>M29.175-31.175</t>
  </si>
  <si>
    <t>SC FM 2</t>
  </si>
  <si>
    <t>M29.325-31.325</t>
  </si>
  <si>
    <t>DIV EARLY WARN</t>
  </si>
  <si>
    <t>M29.475-31.475</t>
  </si>
  <si>
    <t>DIVARTY OPS/ F2</t>
  </si>
  <si>
    <t>M29.525-31.525</t>
  </si>
  <si>
    <t>52 EOD TM2 CMD</t>
  </si>
  <si>
    <t>M29.625-31.625</t>
  </si>
  <si>
    <t>52ND ID A/L</t>
  </si>
  <si>
    <t>M30.825-32.825</t>
  </si>
  <si>
    <t>DIVARTY OPS/F1</t>
  </si>
  <si>
    <t>M30.925-32.925</t>
  </si>
  <si>
    <t>52ID DTAC O/I RT</t>
  </si>
  <si>
    <t>M31.025-33.025</t>
  </si>
  <si>
    <t>M31.075-33.075</t>
  </si>
  <si>
    <t>52 MC TM1 ALT</t>
  </si>
  <si>
    <t>M31.125-33.125</t>
  </si>
  <si>
    <t>52ID DTAC O/I</t>
  </si>
  <si>
    <t>M31.225-33.225</t>
  </si>
  <si>
    <t>52 EOD TM2 ALT</t>
  </si>
  <si>
    <t>M31.275-33.275</t>
  </si>
  <si>
    <t>GREY EGL NET 1</t>
  </si>
  <si>
    <t>M31.325-33.325</t>
  </si>
  <si>
    <t>GREY EGL NET 2</t>
  </si>
  <si>
    <t>GREY EGL NET 3</t>
  </si>
  <si>
    <t>1/C/5-5 FD1 D</t>
  </si>
  <si>
    <t>1/C/5-5 FD1 V</t>
  </si>
  <si>
    <t>2 PLT C BTRY 5-5</t>
  </si>
  <si>
    <t>1 PLT C BTRY 5-5</t>
  </si>
  <si>
    <t>C BTRY 5-5 FC</t>
  </si>
  <si>
    <t>1/B/5-5 FD1 D</t>
  </si>
  <si>
    <t>1/B/5-5 FD1 V</t>
  </si>
  <si>
    <t>2 PLT B BTRY 5-5</t>
  </si>
  <si>
    <t>1 PLT B BTRY 5-5</t>
  </si>
  <si>
    <t>B BTRY 5-5 FB</t>
  </si>
  <si>
    <t>1/A/5-5 FD1 D</t>
  </si>
  <si>
    <t>1/A/5-5 FD1 V</t>
  </si>
  <si>
    <t>2 PLT A BTRY 5-5</t>
  </si>
  <si>
    <t>1 PLT A BTRY 5-5</t>
  </si>
  <si>
    <t>A BTRY 5-5 ADA</t>
  </si>
  <si>
    <t>HHB 5-5 MEDICS</t>
  </si>
  <si>
    <t>HHB 5-5 RDR PLT</t>
  </si>
  <si>
    <t>HHB 5-5 CMD</t>
  </si>
  <si>
    <t>5-5 ADA FD 1 D</t>
  </si>
  <si>
    <t>5-5 ADA FD 1 V</t>
  </si>
  <si>
    <t>5-5 ADA CF 2 D</t>
  </si>
  <si>
    <t>5-5 ADA CF 2 V</t>
  </si>
  <si>
    <t>5-5 ADA CF 1 D</t>
  </si>
  <si>
    <t>5-5 ADA CF 1 V</t>
  </si>
  <si>
    <t>5-5 ADA SU/C2</t>
  </si>
  <si>
    <t>5-5 ADA A/L</t>
  </si>
  <si>
    <t>5-5 ADA O/I</t>
  </si>
  <si>
    <t>5-5 ADA CMD</t>
  </si>
  <si>
    <t>1/C CO CSSB</t>
  </si>
  <si>
    <t>EVAC C CO CSSB</t>
  </si>
  <si>
    <t>C CO CMD CSSB</t>
  </si>
  <si>
    <t>RECOVERY B CSSB</t>
  </si>
  <si>
    <t>QRF B CSSB</t>
  </si>
  <si>
    <t>MAINT B CO CSSB</t>
  </si>
  <si>
    <t>HQ B CO CSSB</t>
  </si>
  <si>
    <t>B CO CMD CSSB</t>
  </si>
  <si>
    <t>3/A CO CSSB</t>
  </si>
  <si>
    <t>2/A CO CSSB</t>
  </si>
  <si>
    <t>1/A CO CSSB</t>
  </si>
  <si>
    <t>A CO CMD CSSB</t>
  </si>
  <si>
    <t>CSSB MORT AFF</t>
  </si>
  <si>
    <t>CSSB HHC CMD</t>
  </si>
  <si>
    <t>CSSB A/L</t>
  </si>
  <si>
    <t>CSSB O/I</t>
  </si>
  <si>
    <t>CSSB SPT OPS</t>
  </si>
  <si>
    <t>CSSB CMD</t>
  </si>
  <si>
    <t>22ND B CO ALT</t>
  </si>
  <si>
    <t>22ND CHEM B CO</t>
  </si>
  <si>
    <t>22ND A CO ALT</t>
  </si>
  <si>
    <t>22ND CHEM A CO</t>
  </si>
  <si>
    <t>HHC ALT 22ND CMD</t>
  </si>
  <si>
    <t>HHC 22ND CHEM</t>
  </si>
  <si>
    <t>22ND CHEM CMD AL</t>
  </si>
  <si>
    <t>22ND CHEM CMD</t>
  </si>
  <si>
    <t>3/E CO 3-501</t>
  </si>
  <si>
    <t>2/E CO 3-501</t>
  </si>
  <si>
    <t>1/E CO 3-501</t>
  </si>
  <si>
    <t>E CO CMD 3-501</t>
  </si>
  <si>
    <t>3/D CO 3-501</t>
  </si>
  <si>
    <t>2/D CO 3-501</t>
  </si>
  <si>
    <t>1/D CO 3-501</t>
  </si>
  <si>
    <t>D CO CMD 3-501</t>
  </si>
  <si>
    <t>3/C CO 3-501</t>
  </si>
  <si>
    <t>2/C CO 3-501</t>
  </si>
  <si>
    <t>1/C CO 3-501</t>
  </si>
  <si>
    <t>C CO CMD 3-501</t>
  </si>
  <si>
    <t>3/B CO 3-501</t>
  </si>
  <si>
    <t>2/B CO 3-501</t>
  </si>
  <si>
    <t>1/B CO 3-501</t>
  </si>
  <si>
    <t>B CO CMD 3-501</t>
  </si>
  <si>
    <t>3/A CO 3-501</t>
  </si>
  <si>
    <t>2/A CO 3-501</t>
  </si>
  <si>
    <t>1/A CO 3-501</t>
  </si>
  <si>
    <t>A CO CMD 3-501</t>
  </si>
  <si>
    <t>3-501 CAB CONVOY</t>
  </si>
  <si>
    <t>3-501 CAB ASSLT</t>
  </si>
  <si>
    <t>AIR TO GND 3-501</t>
  </si>
  <si>
    <t>FIRES D 3-501</t>
  </si>
  <si>
    <t>FIRES V 3-501</t>
  </si>
  <si>
    <t>3-501 ASSLT A/L</t>
  </si>
  <si>
    <t>3-501 ASSLT O/I</t>
  </si>
  <si>
    <t>3-501 ASSLT CMD</t>
  </si>
  <si>
    <t>DAKOTA J3</t>
  </si>
  <si>
    <t>DAKOTA J2</t>
  </si>
  <si>
    <t>DAKOTA J1</t>
  </si>
  <si>
    <t>RECOVERY D TRP</t>
  </si>
  <si>
    <t>D TRP 2-13</t>
  </si>
  <si>
    <t>3/D/2-13</t>
  </si>
  <si>
    <t>2/D/2-13</t>
  </si>
  <si>
    <t>1/D/2-13</t>
  </si>
  <si>
    <t>D CO/TANK</t>
  </si>
  <si>
    <t>2/C/2-13</t>
  </si>
  <si>
    <t>1/C/2-13</t>
  </si>
  <si>
    <t>MORTARS C TRP</t>
  </si>
  <si>
    <t>C TRP 2-13</t>
  </si>
  <si>
    <t>2/B/2-13</t>
  </si>
  <si>
    <t>1/B/2-13</t>
  </si>
  <si>
    <t>MORTARS B TRP</t>
  </si>
  <si>
    <t>B TRP 2-13</t>
  </si>
  <si>
    <t>2/A/2-13</t>
  </si>
  <si>
    <t>1/A/2-13</t>
  </si>
  <si>
    <t>MORTARS A CO</t>
  </si>
  <si>
    <t>A CO 2-13</t>
  </si>
  <si>
    <t>FIRES D 2-13</t>
  </si>
  <si>
    <t>FIRES V 2-13</t>
  </si>
  <si>
    <t>MEDIC 2-13</t>
  </si>
  <si>
    <t>RETRANS 2 2-13</t>
  </si>
  <si>
    <t>RETRANS 1 2-13</t>
  </si>
  <si>
    <t>HHT/HQ 2-13</t>
  </si>
  <si>
    <t>SQDN A/L</t>
  </si>
  <si>
    <t>SQDN O/I</t>
  </si>
  <si>
    <t>2-13 BN CMD</t>
  </si>
  <si>
    <t>DEFENDER J3</t>
  </si>
  <si>
    <t>DEFENDER J2</t>
  </si>
  <si>
    <t>DEFENDER J1</t>
  </si>
  <si>
    <t>1/C/4-1 FD2 D</t>
  </si>
  <si>
    <t>1/C/4-1 FD2 V</t>
  </si>
  <si>
    <t>1/C/4-1 FD1 D</t>
  </si>
  <si>
    <t>1/C/4-1 FD1 V</t>
  </si>
  <si>
    <t>2 PLT C CO 4-1</t>
  </si>
  <si>
    <t>1 PLT C CO 4-1</t>
  </si>
  <si>
    <t>C CO 4-1 FC</t>
  </si>
  <si>
    <t>1/B/4-1 FD2 D</t>
  </si>
  <si>
    <t>1/B/4-1 FD2 V</t>
  </si>
  <si>
    <t>1/B/4-1 FD1 D</t>
  </si>
  <si>
    <t>1/B/4-1 FD1 V</t>
  </si>
  <si>
    <t>2 PLT B CO 4-1</t>
  </si>
  <si>
    <t>1 PLT B CO 4-1</t>
  </si>
  <si>
    <t>B CO 4-1 FB</t>
  </si>
  <si>
    <t>1/A/4-1 FD2 D</t>
  </si>
  <si>
    <t>1/A/4-1 FD2 V</t>
  </si>
  <si>
    <t>1/A/4-1 FD1 D</t>
  </si>
  <si>
    <t>1/A/4-1 FD1 V</t>
  </si>
  <si>
    <t>2 PLT A CO 4-1</t>
  </si>
  <si>
    <t>1 PLT A CO 4-1</t>
  </si>
  <si>
    <t>A CO 4-1 FA</t>
  </si>
  <si>
    <t>HHB 4-1 MEDICS</t>
  </si>
  <si>
    <t>HHB 4-1 RDR PLT</t>
  </si>
  <si>
    <t>HHB 4-1 CMD</t>
  </si>
  <si>
    <t>4-1 QUICK FIRE</t>
  </si>
  <si>
    <t>4-1 CF SPARE V</t>
  </si>
  <si>
    <t>4-1 FA FD 3 D</t>
  </si>
  <si>
    <t>4-1 FA FD 3 V</t>
  </si>
  <si>
    <t>4-1 FA FD 2 D</t>
  </si>
  <si>
    <t>4-1 FA FD 2 V</t>
  </si>
  <si>
    <t>4-1 FA FD 1 D</t>
  </si>
  <si>
    <t>4-1 FA FD 1 V</t>
  </si>
  <si>
    <t>4-1 FA CF 2 D</t>
  </si>
  <si>
    <t>4-1 FA CF 2 V</t>
  </si>
  <si>
    <t>4-1 FA CF 1 D</t>
  </si>
  <si>
    <t>4-1 FA CF 1 V</t>
  </si>
  <si>
    <t>4-1 FA SU/C2</t>
  </si>
  <si>
    <t>4-1 FA A/L</t>
  </si>
  <si>
    <t>4-1 FA O/I</t>
  </si>
  <si>
    <t>4-1 FA CMD</t>
  </si>
  <si>
    <t>SAPPER STEEL J3</t>
  </si>
  <si>
    <t>SAPPER STEEL J2</t>
  </si>
  <si>
    <t>SAPPER STEEL J1</t>
  </si>
  <si>
    <t>MCS 2 BEB</t>
  </si>
  <si>
    <t>MAINT 2 BEB</t>
  </si>
  <si>
    <t>DIST 2 BEB</t>
  </si>
  <si>
    <t>FF 2 BEB</t>
  </si>
  <si>
    <t>E CO CMD 2 BEB</t>
  </si>
  <si>
    <t>4/D CO 2 BEB</t>
  </si>
  <si>
    <t>3/D CO 2 BEB</t>
  </si>
  <si>
    <t>2/D CO 2 BEB</t>
  </si>
  <si>
    <t>1/D CO 2 BEB</t>
  </si>
  <si>
    <t>D CO CMD 2 BEB</t>
  </si>
  <si>
    <t>3/C CO 2 BEB</t>
  </si>
  <si>
    <t>2/C CO 2 BEB</t>
  </si>
  <si>
    <t>1/C CO 2 BEB</t>
  </si>
  <si>
    <t>C CO CMD 2 BEB</t>
  </si>
  <si>
    <t>3/B CO 2 BEB</t>
  </si>
  <si>
    <t>2/B CO 2 BEB</t>
  </si>
  <si>
    <t>1/B CO 2 BEB</t>
  </si>
  <si>
    <t>B CO CMD 2 BEB</t>
  </si>
  <si>
    <t>3/A CO 2 BEB</t>
  </si>
  <si>
    <t>2/A CO 2 BEB</t>
  </si>
  <si>
    <t>1/A CO 2 BEB</t>
  </si>
  <si>
    <t>A CO CMD 2 BEB</t>
  </si>
  <si>
    <t>2ND PLT MEDICS</t>
  </si>
  <si>
    <t>1ST PLT CBRN</t>
  </si>
  <si>
    <t>HHC CMD 2 BEB</t>
  </si>
  <si>
    <t>CONVOY 2 BEB</t>
  </si>
  <si>
    <t>FIRES V 2 BEB</t>
  </si>
  <si>
    <t>FIRES D 2 BEB</t>
  </si>
  <si>
    <t>BN A/L 2 BEB</t>
  </si>
  <si>
    <t>BN O/I 2 BEB</t>
  </si>
  <si>
    <t>BN CMD 2 BEB</t>
  </si>
  <si>
    <t>DEATH DEALERS J2</t>
  </si>
  <si>
    <t>DEATH DEALERS J1</t>
  </si>
  <si>
    <t>3/G CO 1-67</t>
  </si>
  <si>
    <t>2/G CO 1-67</t>
  </si>
  <si>
    <t>1/G CO 1-67</t>
  </si>
  <si>
    <t>G CO CMD 1-67</t>
  </si>
  <si>
    <t>3/C CO 1-67</t>
  </si>
  <si>
    <t>2/C CO 1-67</t>
  </si>
  <si>
    <t>1/C CO 1-67</t>
  </si>
  <si>
    <t>C CO CMD 1-67</t>
  </si>
  <si>
    <t>3/B CO 1-67</t>
  </si>
  <si>
    <t>2/B CO 1-67</t>
  </si>
  <si>
    <t>1/B CO 1-67</t>
  </si>
  <si>
    <t>B CO CMD 1-67</t>
  </si>
  <si>
    <t>3/A CO 1-67</t>
  </si>
  <si>
    <t>2/A CO 1-67</t>
  </si>
  <si>
    <t>1/A CO 1-67</t>
  </si>
  <si>
    <t>A CO CMD 1-67</t>
  </si>
  <si>
    <t>1-67 AR CONVOY</t>
  </si>
  <si>
    <t>1-67 AR ASSLT</t>
  </si>
  <si>
    <t>HHC CMD 1-67</t>
  </si>
  <si>
    <t>FIRES D 1-67</t>
  </si>
  <si>
    <t>FIRES V 1-67</t>
  </si>
  <si>
    <t>1-67 AR A/L</t>
  </si>
  <si>
    <t>1-67 AR O/I</t>
  </si>
  <si>
    <t>1-67 AR CMD</t>
  </si>
  <si>
    <t>IRON SUPPORT J3</t>
  </si>
  <si>
    <t>IRON SUPPORT J2</t>
  </si>
  <si>
    <t>IRON SUPPORT J1</t>
  </si>
  <si>
    <t>I CO FSC</t>
  </si>
  <si>
    <t>H CO FSC</t>
  </si>
  <si>
    <t>G CO FSC</t>
  </si>
  <si>
    <t>F CO FSC</t>
  </si>
  <si>
    <t>E CO FSC</t>
  </si>
  <si>
    <t>D CO TRP</t>
  </si>
  <si>
    <t>1/C CO 123 BSB</t>
  </si>
  <si>
    <t>EVAC C CO 123 BS</t>
  </si>
  <si>
    <t>C CO CMD 123 BSB</t>
  </si>
  <si>
    <t>RECOVERY B 123</t>
  </si>
  <si>
    <t>QRF B 123</t>
  </si>
  <si>
    <t>MAINT B CO 123</t>
  </si>
  <si>
    <t>HQ B CO 123</t>
  </si>
  <si>
    <t>B CO CMD 123 BSB</t>
  </si>
  <si>
    <t>3/A CO 123 BSB</t>
  </si>
  <si>
    <t>2/A CO 123 BSB</t>
  </si>
  <si>
    <t>1/A CO 123 BSB</t>
  </si>
  <si>
    <t>A CO CMD 123 BSB</t>
  </si>
  <si>
    <t>123 BSB MORT AFF</t>
  </si>
  <si>
    <t>123 BSB HHC CMD</t>
  </si>
  <si>
    <t>123 BSB A/L</t>
  </si>
  <si>
    <t>123 BSB O/I</t>
  </si>
  <si>
    <t>123 BSB SPT OPS</t>
  </si>
  <si>
    <t>123 BSB CMD</t>
  </si>
  <si>
    <t>3/FSC CO 1-77</t>
  </si>
  <si>
    <t>2/FSC CO 1-77</t>
  </si>
  <si>
    <t>1/FSC CO 1-77</t>
  </si>
  <si>
    <t>FSC CO CMD 1-77</t>
  </si>
  <si>
    <t>SUPPLY C 1-77</t>
  </si>
  <si>
    <t>3/C CO 1-77</t>
  </si>
  <si>
    <t>2/C CO 1-77</t>
  </si>
  <si>
    <t>1/C CO 1-77</t>
  </si>
  <si>
    <t>C CO CMD 1-77</t>
  </si>
  <si>
    <t>SUPPLY B 1-77</t>
  </si>
  <si>
    <t>3/B CO 1-77</t>
  </si>
  <si>
    <t>2/B CO 1-77</t>
  </si>
  <si>
    <t>1/B CO 1-77</t>
  </si>
  <si>
    <t>B CO CMD 1-77</t>
  </si>
  <si>
    <t>SUPPLY A 1-77</t>
  </si>
  <si>
    <t>3/A CO 1-77</t>
  </si>
  <si>
    <t>2/A CO 1-77</t>
  </si>
  <si>
    <t>1/A CO 1-77</t>
  </si>
  <si>
    <t>A CO CMD 1-77</t>
  </si>
  <si>
    <t>HHC CMD 1-77</t>
  </si>
  <si>
    <t>FIRES D 1-77</t>
  </si>
  <si>
    <t>FIRES V 1-77</t>
  </si>
  <si>
    <t>1-77 AR A/L</t>
  </si>
  <si>
    <t>1-77 AR O/I</t>
  </si>
  <si>
    <t>1-77 AR CMD</t>
  </si>
  <si>
    <t>CHIPPEWA J3</t>
  </si>
  <si>
    <t>CHIPPEWA J2</t>
  </si>
  <si>
    <t>CHIPPEWA J1</t>
  </si>
  <si>
    <t>J CO MAINT</t>
  </si>
  <si>
    <t>J CO FUELER</t>
  </si>
  <si>
    <t>J CO SNR</t>
  </si>
  <si>
    <t>J CO DISTRO</t>
  </si>
  <si>
    <t>J CO CMD 4-6 INF</t>
  </si>
  <si>
    <t>3/C CO 4-6 INF</t>
  </si>
  <si>
    <t>2/C CO 4-6 INF</t>
  </si>
  <si>
    <t>1/C CO 4-6 INF</t>
  </si>
  <si>
    <t>C CO C/O 4-6 INF</t>
  </si>
  <si>
    <t>3/B CO 4-6 INF</t>
  </si>
  <si>
    <t>2/B CO 4-6 INF</t>
  </si>
  <si>
    <t>1/B CO 4-6 INF</t>
  </si>
  <si>
    <t>B CO C/O 4-6 INF</t>
  </si>
  <si>
    <t>3/A CO 4-6 INF</t>
  </si>
  <si>
    <t>2/A CO 4-6 INF</t>
  </si>
  <si>
    <t>1/A CO 4-6 INF</t>
  </si>
  <si>
    <t>A CO C/O 4-6 INF</t>
  </si>
  <si>
    <t>MEDICS 4-6</t>
  </si>
  <si>
    <t>MORT C/O 4-6</t>
  </si>
  <si>
    <t>SCOUT 4-6</t>
  </si>
  <si>
    <t>HHC 4-6 INF</t>
  </si>
  <si>
    <t>4-6 INF FIRES V</t>
  </si>
  <si>
    <t>4-6 INF BN SU/C2</t>
  </si>
  <si>
    <t>4-6 INF BN A/L</t>
  </si>
  <si>
    <t>4-6 INF BN O/I</t>
  </si>
  <si>
    <t>4-6 INF CMD</t>
  </si>
  <si>
    <t>BULLDOG J3</t>
  </si>
  <si>
    <t>BULLDOG J2</t>
  </si>
  <si>
    <t>BULLDOG J1</t>
  </si>
  <si>
    <t>3/1 HHC SPARE</t>
  </si>
  <si>
    <t>3/1 HHC CMD</t>
  </si>
  <si>
    <t>3 ABCT TAC</t>
  </si>
  <si>
    <t>3 ABCT CONVOY</t>
  </si>
  <si>
    <t>3 ABCT CMD ALT</t>
  </si>
  <si>
    <t>3/1 SPARE 4</t>
  </si>
  <si>
    <t>3/1 SPARE 3</t>
  </si>
  <si>
    <t>3/1 SPARE 2</t>
  </si>
  <si>
    <t>3/1 SPARE 1</t>
  </si>
  <si>
    <t>3/1 BDE FIRES D</t>
  </si>
  <si>
    <t>3/1 BDE FIRES V</t>
  </si>
  <si>
    <t>3/1 BDE PSD</t>
  </si>
  <si>
    <t>3/1 BDE S6</t>
  </si>
  <si>
    <t>3/1 BDE EWO</t>
  </si>
  <si>
    <t>3/1 BDE SUPPLY</t>
  </si>
  <si>
    <t>3/1 BDE OPS</t>
  </si>
  <si>
    <t>3/1 BDE INTEL</t>
  </si>
  <si>
    <t>3/1 BDE S1</t>
  </si>
  <si>
    <t>3/1 BDE SU/C2</t>
  </si>
  <si>
    <t>3/1 BDE A/L</t>
  </si>
  <si>
    <t>3/1 BDE O/I</t>
  </si>
  <si>
    <t>3/1 BDE CMD</t>
  </si>
  <si>
    <t>SC FM 12</t>
  </si>
  <si>
    <t>M31.425-33.425</t>
  </si>
  <si>
    <t>DIVARTY TA/INTEL</t>
  </si>
  <si>
    <t>M31.525-33.525</t>
  </si>
  <si>
    <t>M31.575-33.575</t>
  </si>
  <si>
    <t>52 SF TM1 ALT</t>
  </si>
  <si>
    <t>M31.625-33.625</t>
  </si>
  <si>
    <t>M31.675-33.675</t>
  </si>
  <si>
    <t>SC FM 5</t>
  </si>
  <si>
    <t>M31.725-33.725</t>
  </si>
  <si>
    <t>52 USN TM1 CMD</t>
  </si>
  <si>
    <t>M31.775-33.775</t>
  </si>
  <si>
    <t>52 EOD TM1 ALT</t>
  </si>
  <si>
    <t>M31.825-33.825</t>
  </si>
  <si>
    <t>52ND ID RTS CMD</t>
  </si>
  <si>
    <t>M31.875-33.875</t>
  </si>
  <si>
    <t>AIR TO AIR WEST</t>
  </si>
  <si>
    <t>M31.95-33.95</t>
  </si>
  <si>
    <t>M33.025-35.025</t>
  </si>
  <si>
    <t>52ND ID CMD</t>
  </si>
  <si>
    <t>M33.075-35.075</t>
  </si>
  <si>
    <t>M33.125-35.125</t>
  </si>
  <si>
    <t>AIR TO AIR BLAAF</t>
  </si>
  <si>
    <t>M33.15-35.15</t>
  </si>
  <si>
    <t>SC FM 3</t>
  </si>
  <si>
    <t>M33.175-35.175</t>
  </si>
  <si>
    <t>SC FM 8</t>
  </si>
  <si>
    <t>M33.225-35.225</t>
  </si>
  <si>
    <t>M33.275-35.275</t>
  </si>
  <si>
    <t>M33.375-35.375</t>
  </si>
  <si>
    <t>52ID DTAC CMD RT</t>
  </si>
  <si>
    <t>M33.475-35.475</t>
  </si>
  <si>
    <t>M33.575-35.575</t>
  </si>
  <si>
    <t>M33.675-35.675</t>
  </si>
  <si>
    <t>M33.775-35.775</t>
  </si>
  <si>
    <t>SC FM 1</t>
  </si>
  <si>
    <t>M33.825-35.825</t>
  </si>
  <si>
    <t>RBCI INT</t>
  </si>
  <si>
    <t>M33.925-35.925</t>
  </si>
  <si>
    <t>RBCI RES</t>
  </si>
  <si>
    <t>RBCI REL</t>
  </si>
  <si>
    <t>BRONCO 1</t>
  </si>
  <si>
    <t>BRONCO 2</t>
  </si>
  <si>
    <t>BRONCO 3</t>
  </si>
  <si>
    <t>BRONCO 4</t>
  </si>
  <si>
    <t>BRONCO 5</t>
  </si>
  <si>
    <t>BRONCO 6</t>
  </si>
  <si>
    <t>TARANTULA 1</t>
  </si>
  <si>
    <t>TARANTULA 2</t>
  </si>
  <si>
    <t>TARANTULA 3</t>
  </si>
  <si>
    <t>TARANTULA 4</t>
  </si>
  <si>
    <t>TARANTULA 5</t>
  </si>
  <si>
    <t>TARANTULA 6</t>
  </si>
  <si>
    <t>SIDEWINDER 1</t>
  </si>
  <si>
    <t>SIDEWINDER 2</t>
  </si>
  <si>
    <t>SIDEWINDER 3</t>
  </si>
  <si>
    <t>SIDEWINDER 4</t>
  </si>
  <si>
    <t>SIDEWINDER 5</t>
  </si>
  <si>
    <t>SIDEWINDER 6</t>
  </si>
  <si>
    <t>EAGLE 01</t>
  </si>
  <si>
    <t>EAGLE 02</t>
  </si>
  <si>
    <t>EAGLE 3</t>
  </si>
  <si>
    <t>EAGLE 4</t>
  </si>
  <si>
    <t>EAGLE 5</t>
  </si>
  <si>
    <t>EAGLE 6</t>
  </si>
  <si>
    <t>COBRAS 1</t>
  </si>
  <si>
    <t>COBRAS 2</t>
  </si>
  <si>
    <t>COBRAS 3</t>
  </si>
  <si>
    <t>COBRAS 4</t>
  </si>
  <si>
    <t>COBRAS 5</t>
  </si>
  <si>
    <t>COBRAS 6</t>
  </si>
  <si>
    <t>WOLF 1</t>
  </si>
  <si>
    <t>WOLF 2</t>
  </si>
  <si>
    <t>WOLF 3</t>
  </si>
  <si>
    <t>WOLF 4</t>
  </si>
  <si>
    <t>WOLF 5</t>
  </si>
  <si>
    <t>WOLF 6</t>
  </si>
  <si>
    <t>SCORPION 1</t>
  </si>
  <si>
    <t>SCORPION 2</t>
  </si>
  <si>
    <t>SCORPION 3</t>
  </si>
  <si>
    <t>SCORPION 4</t>
  </si>
  <si>
    <t>SCORPION 5</t>
  </si>
  <si>
    <t>SCORPION 6</t>
  </si>
  <si>
    <t>GOLDMINER 1</t>
  </si>
  <si>
    <t>GOLDMINER 2</t>
  </si>
  <si>
    <t>GOLDMINER 3</t>
  </si>
  <si>
    <t>GOLDMINER 4</t>
  </si>
  <si>
    <t>GOLDMINER 5</t>
  </si>
  <si>
    <t>GOLDMINER 6</t>
  </si>
  <si>
    <t>RAVEN 1</t>
  </si>
  <si>
    <t>RAVEN 2</t>
  </si>
  <si>
    <t>RAVEN 3</t>
  </si>
  <si>
    <t>RAVEN 4</t>
  </si>
  <si>
    <t>RAVEN 5</t>
  </si>
  <si>
    <t>RAVEN 6</t>
  </si>
  <si>
    <t>PUMA 1</t>
  </si>
  <si>
    <t>PUMA 2</t>
  </si>
  <si>
    <t>PUMA 3</t>
  </si>
  <si>
    <t>PUMA 4</t>
  </si>
  <si>
    <t>PUMA 5</t>
  </si>
  <si>
    <t>PUMA 6</t>
  </si>
  <si>
    <t>BOBCAT 1</t>
  </si>
  <si>
    <t>BOBCAT 2</t>
  </si>
  <si>
    <t>BOBCAT 3</t>
  </si>
  <si>
    <t>BOBCAT 4</t>
  </si>
  <si>
    <t>BOBCAT 5</t>
  </si>
  <si>
    <t>BOBCAT 6</t>
  </si>
  <si>
    <t>OPS CMD 1</t>
  </si>
  <si>
    <t>OPS CMD 2</t>
  </si>
  <si>
    <t>OPS CMD 3</t>
  </si>
  <si>
    <t>OPS CMD 4</t>
  </si>
  <si>
    <t>OPS CMD 5</t>
  </si>
  <si>
    <t>OPS CMD 6</t>
  </si>
  <si>
    <t>OPS O/I 1</t>
  </si>
  <si>
    <t>OPS O/I 2</t>
  </si>
  <si>
    <t>VULTURS MAIN 1</t>
  </si>
  <si>
    <t>VULTURS MAIN 2</t>
  </si>
  <si>
    <t>VULTERS MAIN 3</t>
  </si>
  <si>
    <t>VULTERS MAIN 4</t>
  </si>
  <si>
    <t>VULTERS MAIN 5</t>
  </si>
  <si>
    <t>VULTERS MAIN 6</t>
  </si>
  <si>
    <t>VULTURES RTX 1</t>
  </si>
  <si>
    <t>VULTURES RTX 2</t>
  </si>
  <si>
    <t>SPARTAN 1</t>
  </si>
  <si>
    <t>SPARTAN 2</t>
  </si>
  <si>
    <t>SPARTAN 3</t>
  </si>
  <si>
    <t>SPARTAN 4</t>
  </si>
  <si>
    <t>PANTHER 1</t>
  </si>
  <si>
    <t>PANTHER 2</t>
  </si>
  <si>
    <t>GRIFFON NET ID</t>
  </si>
  <si>
    <t>RED TAIL NET ID</t>
  </si>
  <si>
    <t>SOKOL NET ID</t>
  </si>
  <si>
    <t>1916 SB CMD</t>
  </si>
  <si>
    <t>1916 SB A/L TOC</t>
  </si>
  <si>
    <t>1916 SB O/I REAR</t>
  </si>
  <si>
    <t>1916 SB HHC CMD</t>
  </si>
  <si>
    <t>2 TRANS CO CMD</t>
  </si>
  <si>
    <t>2 TRANS A/L TOC</t>
  </si>
  <si>
    <t>2 TRAN O/I  REAR</t>
  </si>
  <si>
    <t>2 TRANS HQ PLT</t>
  </si>
  <si>
    <t>2 TRANS MAINT PL</t>
  </si>
  <si>
    <t>2 TRAN CO PLT 1</t>
  </si>
  <si>
    <t>2 TRAN CO PLT 2</t>
  </si>
  <si>
    <t>2 TRAN CO PLT 3</t>
  </si>
  <si>
    <t>2 TRAN CO PLT 4</t>
  </si>
  <si>
    <t>2 TRAN SPARE 1</t>
  </si>
  <si>
    <t>2 TRAN SPARE 2</t>
  </si>
  <si>
    <t>2 TRAN SPARE 3</t>
  </si>
  <si>
    <t>557 MAINT CO CMD</t>
  </si>
  <si>
    <t>557 MAIN A/L TOC</t>
  </si>
  <si>
    <t>557MAIN O/I REAR</t>
  </si>
  <si>
    <t>557 MAINT CO PLT</t>
  </si>
  <si>
    <t>557 HQ PLT</t>
  </si>
  <si>
    <t>557 C/E PLT</t>
  </si>
  <si>
    <t>557 GSE PLT</t>
  </si>
  <si>
    <t>557 BM PLT</t>
  </si>
  <si>
    <t>557 TRK PLT</t>
  </si>
  <si>
    <t>557 SPARE 1</t>
  </si>
  <si>
    <t>557 SPARE 2</t>
  </si>
  <si>
    <t>557 SPARE 3</t>
  </si>
  <si>
    <t>699 MAINT CO CMD</t>
  </si>
  <si>
    <t>699 MAINT CO A/L</t>
  </si>
  <si>
    <t>699 MAINT CO O/I</t>
  </si>
  <si>
    <t>699 HQ PLT</t>
  </si>
  <si>
    <t>699 C/E</t>
  </si>
  <si>
    <t>699 GSE PLT</t>
  </si>
  <si>
    <t>699 BM PLT</t>
  </si>
  <si>
    <t>699 TRK PLT</t>
  </si>
  <si>
    <t>699 SPARE 1</t>
  </si>
  <si>
    <t>699 SPARE 2</t>
  </si>
  <si>
    <t>699 SPARE 3</t>
  </si>
  <si>
    <t>171 MCONTRO CMD</t>
  </si>
  <si>
    <t>171 MCONTRO O/I</t>
  </si>
  <si>
    <t>171 MCONTRO  A/L</t>
  </si>
  <si>
    <t>MOVEMENT  HQ PLT</t>
  </si>
  <si>
    <t>171 MCC SUR PLT</t>
  </si>
  <si>
    <t>171 MCC RAIL PLT</t>
  </si>
  <si>
    <t>171 MCC AIR PLT</t>
  </si>
  <si>
    <t>916TH SPT BDE FH</t>
  </si>
  <si>
    <t>GSSAB 1</t>
  </si>
  <si>
    <t>SPARE 1</t>
  </si>
  <si>
    <t>SPARE 2</t>
  </si>
  <si>
    <t>SPARE 3</t>
  </si>
  <si>
    <t>SPARE 4</t>
  </si>
  <si>
    <t>SPARE 5</t>
  </si>
  <si>
    <t>SPARE 6</t>
  </si>
  <si>
    <t>SPARE 7</t>
  </si>
  <si>
    <t>SPARE 8</t>
  </si>
  <si>
    <t>SPARE 9</t>
  </si>
  <si>
    <t>EOD CMD</t>
  </si>
  <si>
    <t>EOD OPS</t>
  </si>
  <si>
    <t>EOD O/I</t>
  </si>
  <si>
    <t>EOD A/L</t>
  </si>
  <si>
    <t>EOD CMD ALT</t>
  </si>
  <si>
    <t>EOD OPS ALT</t>
  </si>
  <si>
    <t>321 EN CO CMD</t>
  </si>
  <si>
    <t>321 EN CO A/L</t>
  </si>
  <si>
    <t>OPS/2/321 EN V</t>
  </si>
  <si>
    <t>OPS/3/321 EN V</t>
  </si>
  <si>
    <t>OPS/4/321 EN V</t>
  </si>
  <si>
    <t>PYSOP DET OPS</t>
  </si>
  <si>
    <t>PYSOP DET O/I</t>
  </si>
  <si>
    <t>PYSOP DET A/L</t>
  </si>
  <si>
    <t>PYSOP CMD ALT</t>
  </si>
  <si>
    <t>HTT CMD</t>
  </si>
  <si>
    <t>HTT OPS</t>
  </si>
  <si>
    <t>LAW ENF PRO OPS</t>
  </si>
  <si>
    <t>MWD CMD</t>
  </si>
  <si>
    <t>PRT CMD</t>
  </si>
  <si>
    <t>PRT OPS</t>
  </si>
  <si>
    <t>PRT O/I</t>
  </si>
  <si>
    <t>PRTS A/L</t>
  </si>
  <si>
    <t>PRTS CMD ALT</t>
  </si>
  <si>
    <t>PRTS OPS ALT</t>
  </si>
  <si>
    <t>W INTEL TM CMD</t>
  </si>
  <si>
    <t>W INTEL TM OPS</t>
  </si>
  <si>
    <t>TRANSLATOR CMD</t>
  </si>
  <si>
    <t>ASOS CMD</t>
  </si>
  <si>
    <t>ASOS OPS</t>
  </si>
  <si>
    <t>ASOS FLTOP1</t>
  </si>
  <si>
    <t>M35.1-37.1</t>
  </si>
  <si>
    <t>52 MC TM1 CMD</t>
  </si>
  <si>
    <t>M35.125-37.125</t>
  </si>
  <si>
    <t>SC FM 7</t>
  </si>
  <si>
    <t>M35.175-37.175</t>
  </si>
  <si>
    <t>52ND ID O/I</t>
  </si>
  <si>
    <t>M35.225-37.225</t>
  </si>
  <si>
    <t>M35.3-37.3</t>
  </si>
  <si>
    <t>M35.325-37.325</t>
  </si>
  <si>
    <t>SC FM 11</t>
  </si>
  <si>
    <t>M35.375-37.375</t>
  </si>
  <si>
    <t>M35.525-37.525</t>
  </si>
  <si>
    <t>52ID DTAC CMD</t>
  </si>
  <si>
    <t>M35.575-37.575</t>
  </si>
  <si>
    <t>M35.675-37.675</t>
  </si>
  <si>
    <t>AIR TO AIR EAST</t>
  </si>
  <si>
    <t>M35.7-37.7</t>
  </si>
  <si>
    <t>M35.725-37.725</t>
  </si>
  <si>
    <t>SC FM 4</t>
  </si>
  <si>
    <t>M35.875-37.875</t>
  </si>
  <si>
    <t>EAB SPT BN CMD</t>
  </si>
  <si>
    <t>M35.925-37.925</t>
  </si>
  <si>
    <t>549TH ASOC</t>
  </si>
  <si>
    <t>M35.975-37.975</t>
  </si>
  <si>
    <t>M37.075-39.075</t>
  </si>
  <si>
    <t>M37.1-39.1</t>
  </si>
  <si>
    <t>52 EOD TM1 CMD</t>
  </si>
  <si>
    <t>M37.125-39.125</t>
  </si>
  <si>
    <t>M37.225-39.225</t>
  </si>
  <si>
    <t>M37.325-39.325</t>
  </si>
  <si>
    <t>52ID DTAC A/L</t>
  </si>
  <si>
    <t>M37.425-39.425</t>
  </si>
  <si>
    <t>M37.525-39.525</t>
  </si>
  <si>
    <t>M37.625-39.625</t>
  </si>
  <si>
    <t>MEDEVAC EXERCISE</t>
  </si>
  <si>
    <t>M37.9-39.9</t>
  </si>
  <si>
    <t>DIV FIRESDIGITAL</t>
  </si>
  <si>
    <t>M37.975-39.975</t>
  </si>
  <si>
    <t>M40.55-42.55</t>
  </si>
  <si>
    <t>M40.95-42.95</t>
  </si>
  <si>
    <t>DRAGON RTS 1</t>
  </si>
  <si>
    <t>M59.15-61.15</t>
  </si>
  <si>
    <t>HICON CMD</t>
  </si>
  <si>
    <t>M61-63</t>
  </si>
  <si>
    <t>HICON O/I</t>
  </si>
  <si>
    <t>M61.1-63.1</t>
  </si>
  <si>
    <t>PANTHER 1 SC FM</t>
  </si>
  <si>
    <t>M61.125-63.125</t>
  </si>
  <si>
    <t>HICON FIRES</t>
  </si>
  <si>
    <t>M61.2-63.2</t>
  </si>
  <si>
    <t>BCT LF CMD</t>
  </si>
  <si>
    <t>M61.3-63.3</t>
  </si>
  <si>
    <t>BCT LF O/I</t>
  </si>
  <si>
    <t>M61.4-63.4</t>
  </si>
  <si>
    <t>CAV CMD</t>
  </si>
  <si>
    <t>M61.5-63.5</t>
  </si>
  <si>
    <t>CAV O/I</t>
  </si>
  <si>
    <t>M61.6-63.6</t>
  </si>
  <si>
    <t>CAV FIRES</t>
  </si>
  <si>
    <t>M61.7-63.7</t>
  </si>
  <si>
    <t>HHC</t>
  </si>
  <si>
    <t>M61.8-63.8</t>
  </si>
  <si>
    <t>A TRP</t>
  </si>
  <si>
    <t>M61.9-63.9</t>
  </si>
  <si>
    <t>B TRP</t>
  </si>
  <si>
    <t>M62-64</t>
  </si>
  <si>
    <t>CTRP</t>
  </si>
  <si>
    <t>M62.1-64.1</t>
  </si>
  <si>
    <t>EXERCISE MBITR 2</t>
  </si>
  <si>
    <t>M62.15-64.15</t>
  </si>
  <si>
    <t>FIRES</t>
  </si>
  <si>
    <t>M62.2-64.2</t>
  </si>
  <si>
    <t>BN1 CMD</t>
  </si>
  <si>
    <t>M62.3-64.3</t>
  </si>
  <si>
    <t>BN1 O/I</t>
  </si>
  <si>
    <t>M62.4-64.4</t>
  </si>
  <si>
    <t>PANTHER 2 SC FM</t>
  </si>
  <si>
    <t>M62.475-64.475</t>
  </si>
  <si>
    <t>BN1 FIRES</t>
  </si>
  <si>
    <t>M62.5-64.5</t>
  </si>
  <si>
    <t>BN1 A CO</t>
  </si>
  <si>
    <t>M62.6-64.6</t>
  </si>
  <si>
    <t>EXERCISE MBITR 6</t>
  </si>
  <si>
    <t>M62.65-64.65</t>
  </si>
  <si>
    <t>BN1 B CO</t>
  </si>
  <si>
    <t>M62.7-64.7</t>
  </si>
  <si>
    <t>EXERCISE MBITR 3</t>
  </si>
  <si>
    <t>M62.75-64.75</t>
  </si>
  <si>
    <t>BN1 C CO</t>
  </si>
  <si>
    <t>M62.875-64.875</t>
  </si>
  <si>
    <t>BN1 D CO</t>
  </si>
  <si>
    <t>M62.975-64.975</t>
  </si>
  <si>
    <t>BN1 E FIRES</t>
  </si>
  <si>
    <t>M63.075-65.075</t>
  </si>
  <si>
    <t>BN2 CMD</t>
  </si>
  <si>
    <t>M63.175-65.175</t>
  </si>
  <si>
    <t>BN2 O/I</t>
  </si>
  <si>
    <t>M63.275-65.275</t>
  </si>
  <si>
    <t>EXERCISE MBITR 4</t>
  </si>
  <si>
    <t>M63.325-65.325</t>
  </si>
  <si>
    <t>BN2 FIRES</t>
  </si>
  <si>
    <t>M63.375-65.375</t>
  </si>
  <si>
    <t>BN2 A CO</t>
  </si>
  <si>
    <t>M63.475-65.475</t>
  </si>
  <si>
    <t>BN2 B CO</t>
  </si>
  <si>
    <t>M63.575-65.575</t>
  </si>
  <si>
    <t>BN2 C CO</t>
  </si>
  <si>
    <t>M63.675-65.675</t>
  </si>
  <si>
    <t>BN2 D CO</t>
  </si>
  <si>
    <t>M63.85-65.85</t>
  </si>
  <si>
    <t>BN2 E FIRES</t>
  </si>
  <si>
    <t>M63.95-65.95</t>
  </si>
  <si>
    <t>EXERCISE MBITR 5</t>
  </si>
  <si>
    <t>M64.025-66.025</t>
  </si>
  <si>
    <t>BN3 CMD</t>
  </si>
  <si>
    <t>M64.05-66.05</t>
  </si>
  <si>
    <t>BN3 O/I</t>
  </si>
  <si>
    <t>M64.15-66.15</t>
  </si>
  <si>
    <t>BN3 FIRES</t>
  </si>
  <si>
    <t>M64.25-66.25</t>
  </si>
  <si>
    <t>BN3 A CO</t>
  </si>
  <si>
    <t>M64.35-66.35</t>
  </si>
  <si>
    <t>BN3 B CO</t>
  </si>
  <si>
    <t>M64.425-66.425</t>
  </si>
  <si>
    <t>BN3 C CO</t>
  </si>
  <si>
    <t>M64.525-66.525</t>
  </si>
  <si>
    <t>BN3 D CO</t>
  </si>
  <si>
    <t>M64.625-66.625</t>
  </si>
  <si>
    <t>BN3 E FIRES</t>
  </si>
  <si>
    <t>M64.725-66.725</t>
  </si>
  <si>
    <t>M65.1-67.1</t>
  </si>
  <si>
    <t>SC FM 10</t>
  </si>
  <si>
    <t>M65.225-67.225</t>
  </si>
  <si>
    <t>M65.3-67.3</t>
  </si>
  <si>
    <t>M65.45-67.45</t>
  </si>
  <si>
    <t>PAKMIL</t>
  </si>
  <si>
    <t>M65.8-67.8</t>
  </si>
  <si>
    <t>M65.9-67.9</t>
  </si>
  <si>
    <t>M66.1-68.1</t>
  </si>
  <si>
    <t>M66.2-68.2</t>
  </si>
  <si>
    <t>M66.6-68.6</t>
  </si>
  <si>
    <t>EXERCISE MBITR 1</t>
  </si>
  <si>
    <t>M67.1-69.1</t>
  </si>
  <si>
    <t>G3 AIR</t>
  </si>
  <si>
    <t>M67.275-69.275</t>
  </si>
  <si>
    <t>AC2 2</t>
  </si>
  <si>
    <t>M67.45-69.45</t>
  </si>
  <si>
    <t>EXERCISE MBITR 7</t>
  </si>
  <si>
    <t>M67.725-69.725</t>
  </si>
  <si>
    <t>STX CCA FREQ</t>
  </si>
  <si>
    <t>M67.825-69.825</t>
  </si>
  <si>
    <t>M67.925-69.925</t>
  </si>
  <si>
    <t>DRAGON RTS 2</t>
  </si>
  <si>
    <t>M68-70</t>
  </si>
  <si>
    <t>M68.025-70.025</t>
  </si>
  <si>
    <t>EXERCISE MBITR 8</t>
  </si>
  <si>
    <t>M68.05-70.05</t>
  </si>
  <si>
    <t>M68.075-70.075</t>
  </si>
  <si>
    <t>M68.35-70.35</t>
  </si>
  <si>
    <t>M68.4-70.4</t>
  </si>
  <si>
    <t>M68.525-70.525</t>
  </si>
  <si>
    <t>EXERCISE MBITR 9</t>
  </si>
  <si>
    <t>M68.55-70.55</t>
  </si>
  <si>
    <t>M68.875-70.875</t>
  </si>
  <si>
    <t>M68.95-70.95</t>
  </si>
  <si>
    <t>M69.1-71.1</t>
  </si>
  <si>
    <t>RCS SC 2</t>
  </si>
  <si>
    <t>M69.25-71.25</t>
  </si>
  <si>
    <t>EXERCISE MBITR 10</t>
  </si>
  <si>
    <t>M69.375-71.375</t>
  </si>
  <si>
    <t>M69.425-71.425</t>
  </si>
  <si>
    <t>M69.525-71.525</t>
  </si>
  <si>
    <t>M69.575-71.575</t>
  </si>
  <si>
    <t>52ND ID RTS O/I</t>
  </si>
  <si>
    <t>M69.625-71.625</t>
  </si>
  <si>
    <t>M69.675-71.675</t>
  </si>
  <si>
    <t>M69.725-71.725</t>
  </si>
  <si>
    <t>SC FM 9</t>
  </si>
  <si>
    <t>M69.775-71.775</t>
  </si>
  <si>
    <t>RCS SC 3</t>
  </si>
  <si>
    <t>M69.85-71.85</t>
  </si>
  <si>
    <t>EXERCISE MBITR 11</t>
  </si>
  <si>
    <t>M69.875-71.875</t>
  </si>
  <si>
    <t>RCS SC 1</t>
  </si>
  <si>
    <t>M69.9-71.9</t>
  </si>
  <si>
    <t>GRIFFON FM 2</t>
  </si>
  <si>
    <t>M69.95-71.95</t>
  </si>
  <si>
    <t>RAPTOR FM 1</t>
  </si>
  <si>
    <t>M70-72</t>
  </si>
  <si>
    <t>RAPTOR FM 2</t>
  </si>
  <si>
    <t>M70.05-72.05</t>
  </si>
  <si>
    <t>RED TAIL FM 1</t>
  </si>
  <si>
    <t>M70.1-72.1</t>
  </si>
  <si>
    <t>RED TAIL FM 2</t>
  </si>
  <si>
    <t>M70.15-72.15</t>
  </si>
  <si>
    <t>SOKOL FM 1</t>
  </si>
  <si>
    <t>M70.2-72.2</t>
  </si>
  <si>
    <t>SOKOL FM 2</t>
  </si>
  <si>
    <t>M70.25-72.25</t>
  </si>
  <si>
    <t>DUSTOFF FM 1</t>
  </si>
  <si>
    <t>M70.3-72.3</t>
  </si>
  <si>
    <t>GRIFFON FM 1</t>
  </si>
  <si>
    <t>M70.4-72.4</t>
  </si>
  <si>
    <t>759 EOD 2</t>
  </si>
  <si>
    <t>M70.5-72.5</t>
  </si>
  <si>
    <t>759 EOD 3</t>
  </si>
  <si>
    <t>M70.6-72.6</t>
  </si>
  <si>
    <t>1916 SB CMD SC</t>
  </si>
  <si>
    <t>M70.825-72.825</t>
  </si>
  <si>
    <t>RECON TX 1</t>
  </si>
  <si>
    <t>M70.875-72.875</t>
  </si>
  <si>
    <t>RCS SC 4</t>
  </si>
  <si>
    <t>M70.9-72.9</t>
  </si>
  <si>
    <t>DUSTOFF FM 2</t>
  </si>
  <si>
    <t>M70.95-72.95</t>
  </si>
  <si>
    <t>RECON TX 2</t>
  </si>
  <si>
    <t>M70.975-72.975</t>
  </si>
  <si>
    <t>GREY EGL SC 1</t>
  </si>
  <si>
    <t>M75.7-77.7</t>
  </si>
  <si>
    <t>GREY EGL SC 2</t>
  </si>
  <si>
    <t>M76.25-78.25</t>
  </si>
  <si>
    <t>916TH SPT BDE SC</t>
  </si>
  <si>
    <t>M77.925-79.925</t>
  </si>
  <si>
    <t>GREY EGL SC 3</t>
  </si>
  <si>
    <t>M80.5-82.5</t>
  </si>
  <si>
    <t>M107.75-109.75</t>
  </si>
  <si>
    <t>M108.4-110.4</t>
  </si>
  <si>
    <t>M112.2-114.2</t>
  </si>
  <si>
    <t>M117.35-119.35</t>
  </si>
  <si>
    <t>M122-124</t>
  </si>
  <si>
    <t>M123.55-125.55</t>
  </si>
  <si>
    <t>M125.2-127.2</t>
  </si>
  <si>
    <t>M131.175-133.175</t>
  </si>
  <si>
    <t>M131.5-133.5</t>
  </si>
  <si>
    <t>M137.3125-139.3125</t>
  </si>
  <si>
    <t>M138.075-140.075</t>
  </si>
  <si>
    <t>M138.1-140.1</t>
  </si>
  <si>
    <t>M138.125-140.125</t>
  </si>
  <si>
    <t>M138.25-140.25</t>
  </si>
  <si>
    <t>VHF 9</t>
  </si>
  <si>
    <t>M138.575-140.575</t>
  </si>
  <si>
    <t>M138.65-140.65</t>
  </si>
  <si>
    <t>M138.975-140.975</t>
  </si>
  <si>
    <t>M139.125-141.125</t>
  </si>
  <si>
    <t>M139.15-141.15</t>
  </si>
  <si>
    <t>VHF 12</t>
  </si>
  <si>
    <t>M139.425-141.425</t>
  </si>
  <si>
    <t>VHF 4</t>
  </si>
  <si>
    <t>M139.825-141.825</t>
  </si>
  <si>
    <t>ASOS VHF 1</t>
  </si>
  <si>
    <t>M139.975-141.975</t>
  </si>
  <si>
    <t>ASOS VHF 2</t>
  </si>
  <si>
    <t>M140.075-142.075</t>
  </si>
  <si>
    <t>ASOS VHF 3</t>
  </si>
  <si>
    <t>M140.35-142.35</t>
  </si>
  <si>
    <t>VHF 10</t>
  </si>
  <si>
    <t>M140.475-142.475</t>
  </si>
  <si>
    <t>M140.725-142.725</t>
  </si>
  <si>
    <t>VHF 7</t>
  </si>
  <si>
    <t>M140.775-142.775</t>
  </si>
  <si>
    <t>M140.875-142.875</t>
  </si>
  <si>
    <t>DUSTOFF VHF 1</t>
  </si>
  <si>
    <t>M141.1-143.1</t>
  </si>
  <si>
    <t>VHF 11</t>
  </si>
  <si>
    <t>M142.025-144.025</t>
  </si>
  <si>
    <t>M142.3125-144.3125</t>
  </si>
  <si>
    <t>VHF 1</t>
  </si>
  <si>
    <t>M147.575-149.575</t>
  </si>
  <si>
    <t>M147.675-149.675</t>
  </si>
  <si>
    <t>VHF 3</t>
  </si>
  <si>
    <t>M147.75-149.75</t>
  </si>
  <si>
    <t>VHF 5</t>
  </si>
  <si>
    <t>M147.85-149.85</t>
  </si>
  <si>
    <t>VHF 2</t>
  </si>
  <si>
    <t>M147.875-149.875</t>
  </si>
  <si>
    <t>VHF 6</t>
  </si>
  <si>
    <t>M147.925-149.925</t>
  </si>
  <si>
    <t>M148.25-150.25</t>
  </si>
  <si>
    <t>VHF 8</t>
  </si>
  <si>
    <t>M148.4-150.4</t>
  </si>
  <si>
    <t>M224.125-226.125</t>
  </si>
  <si>
    <t>M225.375-227.375</t>
  </si>
  <si>
    <t>JISR PRI</t>
  </si>
  <si>
    <t>M227.5-229.5</t>
  </si>
  <si>
    <t>UHF 11</t>
  </si>
  <si>
    <t>M229.175-231.175</t>
  </si>
  <si>
    <t>HCLOS I  6</t>
  </si>
  <si>
    <t>M231.375-233.375</t>
  </si>
  <si>
    <t>M231.8-233.8</t>
  </si>
  <si>
    <t>M233.82-235.82</t>
  </si>
  <si>
    <t>M237.325-239.325</t>
  </si>
  <si>
    <t>M237.375-239.375</t>
  </si>
  <si>
    <t>M238.275-240.275</t>
  </si>
  <si>
    <t>M240.3-242.3</t>
  </si>
  <si>
    <t>M240.7-242.7</t>
  </si>
  <si>
    <t>HCLOS I  5</t>
  </si>
  <si>
    <t>M245.375-247.375</t>
  </si>
  <si>
    <t>M250.2-252.2</t>
  </si>
  <si>
    <t>UHF 7</t>
  </si>
  <si>
    <t>M250.775-252.775</t>
  </si>
  <si>
    <t>M251.025-253.025</t>
  </si>
  <si>
    <t>M251.175-253.175</t>
  </si>
  <si>
    <t>M251.35-253.35</t>
  </si>
  <si>
    <t>M254.7-256.7</t>
  </si>
  <si>
    <t>UHF 2</t>
  </si>
  <si>
    <t>M258.325-260.325</t>
  </si>
  <si>
    <t>M263.125-265.125</t>
  </si>
  <si>
    <t>AC2 1 UHF</t>
  </si>
  <si>
    <t>M265.2-267.2</t>
  </si>
  <si>
    <t>M266.275-268.275</t>
  </si>
  <si>
    <t>M267-269</t>
  </si>
  <si>
    <t>M271.175-273.175</t>
  </si>
  <si>
    <t>HCLOS I  4</t>
  </si>
  <si>
    <t>M271.625-273.625</t>
  </si>
  <si>
    <t>JISR ALT</t>
  </si>
  <si>
    <t>M273.3-275.3</t>
  </si>
  <si>
    <t>M280.45-282.45</t>
  </si>
  <si>
    <t>M281.125-283.125</t>
  </si>
  <si>
    <t>M283.7-285.7</t>
  </si>
  <si>
    <t>M292-294</t>
  </si>
  <si>
    <t>UHF 12</t>
  </si>
  <si>
    <t>M293.575-295.575</t>
  </si>
  <si>
    <t>M301.3-303.3</t>
  </si>
  <si>
    <t>M303.6-305.6</t>
  </si>
  <si>
    <t>ASOS UHF 2</t>
  </si>
  <si>
    <t>M307.1-309.1</t>
  </si>
  <si>
    <t>M309.35-311.35</t>
  </si>
  <si>
    <t>M313.175-315.175</t>
  </si>
  <si>
    <t>ASOS UHF 3</t>
  </si>
  <si>
    <t>M315.175-317.175</t>
  </si>
  <si>
    <t>UHF 1</t>
  </si>
  <si>
    <t>M315.325-317.325</t>
  </si>
  <si>
    <t>UHF 4</t>
  </si>
  <si>
    <t>M325.45-327.45</t>
  </si>
  <si>
    <t>UHF 3</t>
  </si>
  <si>
    <t>M327.125-329.125</t>
  </si>
  <si>
    <t>UHF 6</t>
  </si>
  <si>
    <t>M334.825-336.825</t>
  </si>
  <si>
    <t>M335.5-337.5</t>
  </si>
  <si>
    <t>M338.95-340.95</t>
  </si>
  <si>
    <t>RECON RX 1</t>
  </si>
  <si>
    <t>M339-341</t>
  </si>
  <si>
    <t>UHF 8</t>
  </si>
  <si>
    <t>M340.675-342.675</t>
  </si>
  <si>
    <t>SHADOW C2-9</t>
  </si>
  <si>
    <t>M344.1392-346.1392</t>
  </si>
  <si>
    <t>UHF 9</t>
  </si>
  <si>
    <t>M347.375-349.375</t>
  </si>
  <si>
    <t>UHF 5</t>
  </si>
  <si>
    <t>M347.525-349.525</t>
  </si>
  <si>
    <t>SHADOW C2-6</t>
  </si>
  <si>
    <t>M352.2032-354.2032</t>
  </si>
  <si>
    <t>UHF 10</t>
  </si>
  <si>
    <t>M355.975-357.975</t>
  </si>
  <si>
    <t>HCLOS I  3</t>
  </si>
  <si>
    <t>M358.5-360.5</t>
  </si>
  <si>
    <t>M362-364</t>
  </si>
  <si>
    <t>RECON RX 2</t>
  </si>
  <si>
    <t>M363-365</t>
  </si>
  <si>
    <t>HCLOS I  1</t>
  </si>
  <si>
    <t>M364-366</t>
  </si>
  <si>
    <t>HCLOS I  2</t>
  </si>
  <si>
    <t>M369.1-371.1</t>
  </si>
  <si>
    <t>SHADOW C2-8</t>
  </si>
  <si>
    <t>M369.4832-371.4832</t>
  </si>
  <si>
    <t>M371.85-373.85</t>
  </si>
  <si>
    <t>M380.1-382.1</t>
  </si>
  <si>
    <t>SHADOW C2-5</t>
  </si>
  <si>
    <t>M382.616-384.616</t>
  </si>
  <si>
    <t>M386.875-388.875</t>
  </si>
  <si>
    <t>SHADOW C2-1</t>
  </si>
  <si>
    <t>M391.3712-393.3712</t>
  </si>
  <si>
    <t>SHADOW C2-7</t>
  </si>
  <si>
    <t>M392.0624-394.0624</t>
  </si>
  <si>
    <t>SHADOW C2-3</t>
  </si>
  <si>
    <t>M392.984-394.984</t>
  </si>
  <si>
    <t>SHADOW C2-4</t>
  </si>
  <si>
    <t>M393.4448-395.4448</t>
  </si>
  <si>
    <t>SHADOW C2-2</t>
  </si>
  <si>
    <t>M393.9056-395.9056</t>
  </si>
  <si>
    <t>EF JOHNSON 1B</t>
  </si>
  <si>
    <t>M394.1875-396.1875</t>
  </si>
  <si>
    <t>EF JOHNSON 2B</t>
  </si>
  <si>
    <t>M395.025-397.025</t>
  </si>
  <si>
    <t>EF JOHNSON 3B</t>
  </si>
  <si>
    <t>M395.325-397.325</t>
  </si>
  <si>
    <t>EF JOHNSON 4B</t>
  </si>
  <si>
    <t>M395.625-397.625</t>
  </si>
  <si>
    <t>EF JOHNSON 1</t>
  </si>
  <si>
    <t>M395.875-397.875</t>
  </si>
  <si>
    <t>EF JOHNSON 5B</t>
  </si>
  <si>
    <t>M395.925-397.925</t>
  </si>
  <si>
    <t>EF JOHNSON 2</t>
  </si>
  <si>
    <t>M395.9375-397.9375</t>
  </si>
  <si>
    <t>EF JOHNSON 3</t>
  </si>
  <si>
    <t>M396.125-398.125</t>
  </si>
  <si>
    <t>EF JOHNSON 4</t>
  </si>
  <si>
    <t>M396.175-398.175</t>
  </si>
  <si>
    <t>EF JOHNSON 5</t>
  </si>
  <si>
    <t>M396.375-398.375</t>
  </si>
  <si>
    <t>EF JOHNSON 6</t>
  </si>
  <si>
    <t>M396.425-398.425</t>
  </si>
  <si>
    <t>EF JOHNSON 7</t>
  </si>
  <si>
    <t>M396.475-398.475</t>
  </si>
  <si>
    <t>EF JOHNSON 8</t>
  </si>
  <si>
    <t>M396.5125-398.5125</t>
  </si>
  <si>
    <t>EF JOHNSON 9</t>
  </si>
  <si>
    <t>M396.55-398.55</t>
  </si>
  <si>
    <t>EF JOHNSON 10</t>
  </si>
  <si>
    <t>M396.9375-398.9375</t>
  </si>
  <si>
    <t>EF JOHNSON 11</t>
  </si>
  <si>
    <t>M396.95-398.95</t>
  </si>
  <si>
    <t>EF JOHNSON 6B</t>
  </si>
  <si>
    <t>M397.025-399.025</t>
  </si>
  <si>
    <t>EF JOHNSON 12</t>
  </si>
  <si>
    <t>M397.05-399.05</t>
  </si>
  <si>
    <t>M397.15-399.15</t>
  </si>
  <si>
    <t>EF JOHNSON 7B</t>
  </si>
  <si>
    <t>M397.325-399.325</t>
  </si>
  <si>
    <t>EF JOHNSON 8B</t>
  </si>
  <si>
    <t>M397.625-399.625</t>
  </si>
  <si>
    <t>EF JOHNSON 13</t>
  </si>
  <si>
    <t>M397.675-399.675</t>
  </si>
  <si>
    <t>EF JOHNSON 9B</t>
  </si>
  <si>
    <t>M397.925-399.925</t>
  </si>
  <si>
    <t>EF JOHNSON 14</t>
  </si>
  <si>
    <t>M398.425-400.425</t>
  </si>
  <si>
    <t>EF JOHNSON 15</t>
  </si>
  <si>
    <t>M398.475-400.475</t>
  </si>
  <si>
    <t>EF JOHSNON 16</t>
  </si>
  <si>
    <t>M398.725-400.725</t>
  </si>
  <si>
    <t>EF JOHNSON 10B</t>
  </si>
  <si>
    <t>M398.925-400.925</t>
  </si>
  <si>
    <t>EPLRS 1</t>
  </si>
  <si>
    <t>M424.75-426.75</t>
  </si>
  <si>
    <t>EPLRS 2</t>
  </si>
  <si>
    <t>M427.75-429.75</t>
  </si>
  <si>
    <t>EPLRS 3</t>
  </si>
  <si>
    <t>M430.75-432.75</t>
  </si>
  <si>
    <t>EPLRS 5</t>
  </si>
  <si>
    <t>M433.75-435.75</t>
  </si>
  <si>
    <t>EPLRS 6</t>
  </si>
  <si>
    <t>M436.75-438.75</t>
  </si>
  <si>
    <t>EPLRS 7</t>
  </si>
  <si>
    <t>M439.75-441.75</t>
  </si>
  <si>
    <t>EPLRS 8</t>
  </si>
  <si>
    <t>M442.75-444.75</t>
  </si>
  <si>
    <t>EPLRS 9</t>
  </si>
  <si>
    <t>M445.75-447.75</t>
  </si>
  <si>
    <t>AN/TPQ-49/50 1</t>
  </si>
  <si>
    <t>M1218-1220</t>
  </si>
  <si>
    <t>AN/TPQ-49/502</t>
  </si>
  <si>
    <t>M1230-1232</t>
  </si>
  <si>
    <t>AN/TPQ-49/50 3</t>
  </si>
  <si>
    <t>M1240-1242</t>
  </si>
  <si>
    <t>HCLOS III TX 1</t>
  </si>
  <si>
    <t>M1372.5-1374.5</t>
  </si>
  <si>
    <t>HCLOS III TX 3</t>
  </si>
  <si>
    <t>M1376-1378</t>
  </si>
  <si>
    <t>HCLOS III TX 5</t>
  </si>
  <si>
    <t>M1379-1381</t>
  </si>
  <si>
    <t>HCLOS III TX 7</t>
  </si>
  <si>
    <t>M1382-1384</t>
  </si>
  <si>
    <t>HCLOS III TX 9</t>
  </si>
  <si>
    <t>M1385.5-1387.5</t>
  </si>
  <si>
    <t>HCLOS III TX 11</t>
  </si>
  <si>
    <t>M1388-1390</t>
  </si>
  <si>
    <t>PROPHET 2</t>
  </si>
  <si>
    <t>M1723-1725</t>
  </si>
  <si>
    <t>PROPHET 1</t>
  </si>
  <si>
    <t>M1731-1733</t>
  </si>
  <si>
    <t>RAVEN DDL 3</t>
  </si>
  <si>
    <t>M1757-1759</t>
  </si>
  <si>
    <t>RAVEN DDL 9</t>
  </si>
  <si>
    <t>M1763-1765</t>
  </si>
  <si>
    <t>RAVEN DDL 13</t>
  </si>
  <si>
    <t>M1769-1771</t>
  </si>
  <si>
    <t>RAVEN DDL 19</t>
  </si>
  <si>
    <t>M1775-1777</t>
  </si>
  <si>
    <t>RAVEN DDL 23</t>
  </si>
  <si>
    <t>M1781-1783</t>
  </si>
  <si>
    <t>RAVEN DDL 29</t>
  </si>
  <si>
    <t>M1787-1789</t>
  </si>
  <si>
    <t>RAVEN DDL 33</t>
  </si>
  <si>
    <t>M1793-1795</t>
  </si>
  <si>
    <t>RAVEN DDL 39</t>
  </si>
  <si>
    <t>M1805-1807</t>
  </si>
  <si>
    <t>RAVEN DDL 43</t>
  </si>
  <si>
    <t>M1829-1831</t>
  </si>
  <si>
    <t>RAVEN DDL 46</t>
  </si>
  <si>
    <t>M1835-1837</t>
  </si>
  <si>
    <t>HCLOS III RX 2</t>
  </si>
  <si>
    <t>M2201-2203</t>
  </si>
  <si>
    <t>HCLOS III RX 4</t>
  </si>
  <si>
    <t>M2204-2206</t>
  </si>
  <si>
    <t>HCLOS III RX 6</t>
  </si>
  <si>
    <t>M2208-2210</t>
  </si>
  <si>
    <t>HCLOS III RX 8</t>
  </si>
  <si>
    <t>M2211-2213</t>
  </si>
  <si>
    <t>HCLOS III RX 10</t>
  </si>
  <si>
    <t>M2214-2216</t>
  </si>
  <si>
    <t>HCLOS III RX 12</t>
  </si>
  <si>
    <t>M2217-2219</t>
  </si>
  <si>
    <t>RLM 1</t>
  </si>
  <si>
    <t>M2441-2443</t>
  </si>
  <si>
    <t>SHADOW PRI LNK 9</t>
  </si>
  <si>
    <t>M2448.26-2450.26</t>
  </si>
  <si>
    <t>SHADOW PRI LNK 1</t>
  </si>
  <si>
    <t>M2449.03-2451.03</t>
  </si>
  <si>
    <t>SHADOW PRI LNK 8</t>
  </si>
  <si>
    <t>M2450.06-2452.06</t>
  </si>
  <si>
    <t>SHADOW PRI LNK 3</t>
  </si>
  <si>
    <t>M2450.29-2452.29</t>
  </si>
  <si>
    <t>SHADOW PRI LNK 5</t>
  </si>
  <si>
    <t>M2450.52-2452.52</t>
  </si>
  <si>
    <t>SHADOW PRI LNK 2</t>
  </si>
  <si>
    <t>M2451.21-2453.21</t>
  </si>
  <si>
    <t>SHADOW PRI LNK 4</t>
  </si>
  <si>
    <t>M2481.8-2483.8</t>
  </si>
  <si>
    <t>SHADOW PRI LNK 7</t>
  </si>
  <si>
    <t>M2482.03-2484.03</t>
  </si>
  <si>
    <t>SHADOW PRI LNK 6</t>
  </si>
  <si>
    <t>M2482.26-2484.26</t>
  </si>
  <si>
    <t>AN/TPQ-37 5</t>
  </si>
  <si>
    <t>M3119-3121</t>
  </si>
  <si>
    <t>AN/TPQ-37 6</t>
  </si>
  <si>
    <t>M3129-3131</t>
  </si>
  <si>
    <t>AN/TPQ-37 1</t>
  </si>
  <si>
    <t>M3159-3161</t>
  </si>
  <si>
    <t>AN/TPQ-37 8</t>
  </si>
  <si>
    <t>M3169-3171</t>
  </si>
  <si>
    <t>AN/TPQ-37 10</t>
  </si>
  <si>
    <t>M3179-3181</t>
  </si>
  <si>
    <t>AN/TPQ-37 3</t>
  </si>
  <si>
    <t>M3199-3201</t>
  </si>
  <si>
    <t>AN/TPQ-37 7</t>
  </si>
  <si>
    <t>M3249-3251</t>
  </si>
  <si>
    <t>AN/TPQ-37 12</t>
  </si>
  <si>
    <t>M3259-3261</t>
  </si>
  <si>
    <t>AN/TPQ-37 9</t>
  </si>
  <si>
    <t>M3279-3281</t>
  </si>
  <si>
    <t>AN/TPQ-37 2</t>
  </si>
  <si>
    <t>M3289-3291</t>
  </si>
  <si>
    <t>AN/TPQ-37 11</t>
  </si>
  <si>
    <t>M3329-3331</t>
  </si>
  <si>
    <t>AN/TPQ-37 13</t>
  </si>
  <si>
    <t>M3339-3341</t>
  </si>
  <si>
    <t>AN/TPQ-37 4</t>
  </si>
  <si>
    <t>M3379-3381</t>
  </si>
  <si>
    <t>RF 7800 1</t>
  </si>
  <si>
    <t>M4424-4426</t>
  </si>
  <si>
    <t>SHADOW VIDEO 3</t>
  </si>
  <si>
    <t>SHADOW VIDEO 5</t>
  </si>
  <si>
    <t>M4449-4451</t>
  </si>
  <si>
    <t>SHADOW VIDEO 7</t>
  </si>
  <si>
    <t>M4474-4476</t>
  </si>
  <si>
    <t>SHADOW VIDEO 8</t>
  </si>
  <si>
    <t>M4499-4501</t>
  </si>
  <si>
    <t>WIN-T LAW C-BND1</t>
  </si>
  <si>
    <t>M4519-4521</t>
  </si>
  <si>
    <t>WIN-T LAW C-BND2</t>
  </si>
  <si>
    <t>M4539-4541</t>
  </si>
  <si>
    <t>WIN-T LAW C-BND3</t>
  </si>
  <si>
    <t>M4559-4561</t>
  </si>
  <si>
    <t>WIN-T LAW C-BND4</t>
  </si>
  <si>
    <t>M4579-4581</t>
  </si>
  <si>
    <t>WIN-T LAW C-BND5</t>
  </si>
  <si>
    <t>M4599-4601</t>
  </si>
  <si>
    <t>WIN-T LAW C-BND6</t>
  </si>
  <si>
    <t>M4619-4621</t>
  </si>
  <si>
    <t>WIN-T LAW C-BND7</t>
  </si>
  <si>
    <t>M4639-4641</t>
  </si>
  <si>
    <t>WIN-T LAW C-BND8</t>
  </si>
  <si>
    <t>M4659-4661</t>
  </si>
  <si>
    <t>TALON 1</t>
  </si>
  <si>
    <t>M4699-4701</t>
  </si>
  <si>
    <t>RF 7800 3</t>
  </si>
  <si>
    <t>M4724-4726</t>
  </si>
  <si>
    <t>TALON 2</t>
  </si>
  <si>
    <t>M4770-4772</t>
  </si>
  <si>
    <t>RF 7800 5</t>
  </si>
  <si>
    <t>M4774-4776</t>
  </si>
  <si>
    <t>SHADOW VIDEO 4</t>
  </si>
  <si>
    <t>RF 7800 6</t>
  </si>
  <si>
    <t>M4799-4801</t>
  </si>
  <si>
    <t>SHADOW VIDEO 2</t>
  </si>
  <si>
    <t>RAM WARNING 1</t>
  </si>
  <si>
    <t>M4824-4826</t>
  </si>
  <si>
    <t>SHADOW VIDEO 10</t>
  </si>
  <si>
    <t>WIN-T HNR 1</t>
  </si>
  <si>
    <t>M4836-4838</t>
  </si>
  <si>
    <t>RAM WARNING 2</t>
  </si>
  <si>
    <t>M4849-4851</t>
  </si>
  <si>
    <t>SHADOW VIDEO 9</t>
  </si>
  <si>
    <t>RAM WARNING 3</t>
  </si>
  <si>
    <t>M4874-4876</t>
  </si>
  <si>
    <t>WIN-T HNR 2</t>
  </si>
  <si>
    <t>M4896-4898</t>
  </si>
  <si>
    <t>RAM WARNING 4</t>
  </si>
  <si>
    <t>M4899-4901</t>
  </si>
  <si>
    <t>SHADOW VIDEO 1</t>
  </si>
  <si>
    <t>RAM WARNING 5</t>
  </si>
  <si>
    <t>M4924-4926</t>
  </si>
  <si>
    <t>SHADOW VIDEO 6</t>
  </si>
  <si>
    <t>WIN-T LAW ISM 1</t>
  </si>
  <si>
    <t>M5744-5746</t>
  </si>
  <si>
    <t>WIN-T LAW ISM 2</t>
  </si>
  <si>
    <t>M5764-5766</t>
  </si>
  <si>
    <t>WIN-T LAW ISM 3</t>
  </si>
  <si>
    <t>M5784-5786</t>
  </si>
  <si>
    <t>WIN-T LAW ISM 4</t>
  </si>
  <si>
    <t>M5804-5806</t>
  </si>
  <si>
    <t>WIN-T LAW ISM 5</t>
  </si>
  <si>
    <t>M5824-5826</t>
  </si>
  <si>
    <t>AN/TPQ-36 5</t>
  </si>
  <si>
    <t>M9389-9391</t>
  </si>
  <si>
    <t>AN/TPQ-36 10</t>
  </si>
  <si>
    <t>M9409-9411</t>
  </si>
  <si>
    <t>AN/TPQ-36 2</t>
  </si>
  <si>
    <t>M9429-9431</t>
  </si>
  <si>
    <t>AN/TPQ-36 23</t>
  </si>
  <si>
    <t>M9449-9451</t>
  </si>
  <si>
    <t>AN/TPQ-36 16</t>
  </si>
  <si>
    <t>M9469-9471</t>
  </si>
  <si>
    <t>AN/TPQ-36 17</t>
  </si>
  <si>
    <t>M9489-9491</t>
  </si>
  <si>
    <t>AN/TPQ-36 1</t>
  </si>
  <si>
    <t>M9509-9511</t>
  </si>
  <si>
    <t>AN/TPQ-36 14</t>
  </si>
  <si>
    <t>M9529-9531</t>
  </si>
  <si>
    <t>AN/TPQ-36 8</t>
  </si>
  <si>
    <t>M9549-9551</t>
  </si>
  <si>
    <t>AN/TPQ-36 26</t>
  </si>
  <si>
    <t>M9569-9571</t>
  </si>
  <si>
    <t>AN/TPQ-36 13</t>
  </si>
  <si>
    <t>M9589-9591</t>
  </si>
  <si>
    <t>AN/TPQ-36 15</t>
  </si>
  <si>
    <t>M9609-9611</t>
  </si>
  <si>
    <t>AN/TPQ-36 18</t>
  </si>
  <si>
    <t>M9629-9631</t>
  </si>
  <si>
    <t>AN/TPQ-36 6</t>
  </si>
  <si>
    <t>M9649-9651</t>
  </si>
  <si>
    <t>AN/TPQ-36 20</t>
  </si>
  <si>
    <t>M9669-9671</t>
  </si>
  <si>
    <t>AN/TPQ-36 7</t>
  </si>
  <si>
    <t>M9689-9691</t>
  </si>
  <si>
    <t>AN/TPQ-36 25</t>
  </si>
  <si>
    <t>M9709-9711</t>
  </si>
  <si>
    <t>AN/TPQ-36 11</t>
  </si>
  <si>
    <t>M9729-9731</t>
  </si>
  <si>
    <t>AN/TPQ-36 30</t>
  </si>
  <si>
    <t>M9749-9751</t>
  </si>
  <si>
    <t>AN/TPQ-36 19</t>
  </si>
  <si>
    <t>M9769-9771</t>
  </si>
  <si>
    <t>AN/TPQ-36 28</t>
  </si>
  <si>
    <t>M9789-9791</t>
  </si>
  <si>
    <t>AN/TPQ-36 24</t>
  </si>
  <si>
    <t>M9809-9811</t>
  </si>
  <si>
    <t>AN/TPQ-36 29</t>
  </si>
  <si>
    <t>M9829-9831</t>
  </si>
  <si>
    <t>AN/TPQ-36 21</t>
  </si>
  <si>
    <t>M9849-9851</t>
  </si>
  <si>
    <t>AN/TPQ-36 3</t>
  </si>
  <si>
    <t>M9869-9871</t>
  </si>
  <si>
    <t>AN/TPQ-36 22</t>
  </si>
  <si>
    <t>M9889-9891</t>
  </si>
  <si>
    <t>AN/TPQ-36 9</t>
  </si>
  <si>
    <t>M9909-9911</t>
  </si>
  <si>
    <t>AN/TPQ-36 27</t>
  </si>
  <si>
    <t>M9929-9931</t>
  </si>
  <si>
    <t>AN/TPQ-36 12</t>
  </si>
  <si>
    <t>M9949-9951</t>
  </si>
  <si>
    <t>AN/TPQ-36 4</t>
  </si>
  <si>
    <t>M9969-9971</t>
  </si>
  <si>
    <t>SHADOW DN LK 1</t>
  </si>
  <si>
    <t>M14539-14541</t>
  </si>
  <si>
    <t>SHADOW DN LK 4</t>
  </si>
  <si>
    <t>M14564-14566</t>
  </si>
  <si>
    <t>LOS DOWN 2</t>
  </si>
  <si>
    <t>M14714-14716</t>
  </si>
  <si>
    <t>LOS DOWN 1</t>
  </si>
  <si>
    <t>M14739-14741</t>
  </si>
  <si>
    <t>SHADOW DN LK 3</t>
  </si>
  <si>
    <t>M14769-14771</t>
  </si>
  <si>
    <t>LOS DOWN 3</t>
  </si>
  <si>
    <t>M14789-14791</t>
  </si>
  <si>
    <t>SHADOW DN LK 2</t>
  </si>
  <si>
    <t>M14814-14816</t>
  </si>
  <si>
    <t>SHADOW UP LK 4</t>
  </si>
  <si>
    <t>M15154-15156</t>
  </si>
  <si>
    <t>LOS UP 2</t>
  </si>
  <si>
    <t>M15164-15166</t>
  </si>
  <si>
    <t>M15174-15176</t>
  </si>
  <si>
    <t>SHADOW UP LK 3</t>
  </si>
  <si>
    <t>M15184-15186</t>
  </si>
  <si>
    <t>SHADOW UP LK 7</t>
  </si>
  <si>
    <t>M15194-15196</t>
  </si>
  <si>
    <t>LOS UP 1</t>
  </si>
  <si>
    <t>M15204-15206</t>
  </si>
  <si>
    <t>SHADOW UP LK 2</t>
  </si>
  <si>
    <t>M15294-15296</t>
  </si>
  <si>
    <t>SHADOW UP LK 5</t>
  </si>
  <si>
    <t>M15304-15306</t>
  </si>
  <si>
    <t>SHADOW UP LK 8</t>
  </si>
  <si>
    <t>M15314-15316</t>
  </si>
  <si>
    <t>SHADOW UP LK 6</t>
  </si>
  <si>
    <t>M15324-15326</t>
  </si>
  <si>
    <t>SHADOW UP LK 1</t>
  </si>
  <si>
    <t>M15334-15336</t>
  </si>
  <si>
    <t>M16739-16741</t>
  </si>
  <si>
    <t>SHDOW INTRGATOR</t>
  </si>
  <si>
    <t>M34929-34931</t>
  </si>
  <si>
    <t>GREY EAGLE TALS</t>
  </si>
  <si>
    <t>M34999-35001</t>
  </si>
  <si>
    <t>SHDOW TRANSPNDR1</t>
  </si>
  <si>
    <t>SERVICE</t>
  </si>
  <si>
    <t>FREQUENCY RANGE</t>
  </si>
  <si>
    <t>USAGE</t>
  </si>
  <si>
    <t>Very Low Powered Travelers' Information Service</t>
  </si>
  <si>
    <t>M0.530</t>
  </si>
  <si>
    <t>MOBILE GROUND</t>
  </si>
  <si>
    <t>AM Radio Broadcast Service</t>
  </si>
  <si>
    <t>M0.540-1.7</t>
  </si>
  <si>
    <t>FIXED-SITE GROUND</t>
  </si>
  <si>
    <t>Near-Field Communications (NFC)</t>
  </si>
  <si>
    <t>M13.56</t>
  </si>
  <si>
    <t>Citizen's Band (CB) Radio Service</t>
  </si>
  <si>
    <t>M26.965-27.405</t>
  </si>
  <si>
    <t>Radio Control Radio Service (RCRS)</t>
  </si>
  <si>
    <t>M26.995-27.255</t>
  </si>
  <si>
    <t>Commercial Paging Lower Band</t>
  </si>
  <si>
    <t>M35-36</t>
  </si>
  <si>
    <t>M43-44</t>
  </si>
  <si>
    <t>US Television Broadcast (Channels 2-4)</t>
  </si>
  <si>
    <t>M54-72</t>
  </si>
  <si>
    <t>M72-73</t>
  </si>
  <si>
    <t>M75.4-76</t>
  </si>
  <si>
    <t>US Television Broadcast (Channels 5-6)</t>
  </si>
  <si>
    <t>M76-88</t>
  </si>
  <si>
    <t>EU FM Radio Broadcast Service</t>
  </si>
  <si>
    <t>M87.5-108</t>
  </si>
  <si>
    <t>US FM Radio Broadcast Service</t>
  </si>
  <si>
    <t>M88-108</t>
  </si>
  <si>
    <t>Civilian Aircraft Radio</t>
  </si>
  <si>
    <t>M108-137</t>
  </si>
  <si>
    <t>AIR</t>
  </si>
  <si>
    <t>Maritime Survivor Locating Devices (MSLDs)</t>
  </si>
  <si>
    <t>MARITIME</t>
  </si>
  <si>
    <t>Multi-Use Radio Service (MURS)</t>
  </si>
  <si>
    <t>M151-154</t>
  </si>
  <si>
    <t>Rural Radiotelephone Service</t>
  </si>
  <si>
    <t>M152-159</t>
  </si>
  <si>
    <t>Basic Exchange Telephone Radio Service (BETRS)</t>
  </si>
  <si>
    <t>US VHF Maritime Band</t>
  </si>
  <si>
    <t>M156.05-162.55</t>
  </si>
  <si>
    <t>M156.525</t>
  </si>
  <si>
    <t>M156.75</t>
  </si>
  <si>
    <t>International Distress, Safety, and Calling Frequency</t>
  </si>
  <si>
    <t>M156.8</t>
  </si>
  <si>
    <t>M156.85</t>
  </si>
  <si>
    <t>M161.975</t>
  </si>
  <si>
    <t>M162.025</t>
  </si>
  <si>
    <t>US Television Broadcast (Channels 7-13)</t>
  </si>
  <si>
    <t>M174-216</t>
  </si>
  <si>
    <t>EU Television Broadcast Service</t>
  </si>
  <si>
    <t>M174-230</t>
  </si>
  <si>
    <t>Low Power Radio Service (LPRS)</t>
  </si>
  <si>
    <t>M216-217</t>
  </si>
  <si>
    <t>218-219 MHz Personal Radio Service Band</t>
  </si>
  <si>
    <t>M218-219</t>
  </si>
  <si>
    <t>Medical Device Radiocommunications Service (MedRadio)</t>
  </si>
  <si>
    <t>M401-406</t>
  </si>
  <si>
    <t>Personal Locator Beacons (PLBs)</t>
  </si>
  <si>
    <t>M406-406.1</t>
  </si>
  <si>
    <t>M413-419</t>
  </si>
  <si>
    <t>M426-432</t>
  </si>
  <si>
    <t>Commercial Drone Control Frequencies</t>
  </si>
  <si>
    <t>M433</t>
  </si>
  <si>
    <t>M438-444</t>
  </si>
  <si>
    <t>M451-457</t>
  </si>
  <si>
    <t>M454-460</t>
  </si>
  <si>
    <t>Family Radio Service (FRS)</t>
  </si>
  <si>
    <t>M462-467</t>
  </si>
  <si>
    <t>General Mobile Radio Service (GMRS)</t>
  </si>
  <si>
    <t>Chinese LoRa</t>
  </si>
  <si>
    <t>M470-510</t>
  </si>
  <si>
    <t>M470-862</t>
  </si>
  <si>
    <t>US Television Broadcast (Channels 14-83)</t>
  </si>
  <si>
    <t>M470-890</t>
  </si>
  <si>
    <t>Offshore Radiotelephne Service</t>
  </si>
  <si>
    <t>M476-493</t>
  </si>
  <si>
    <t>Wireless Medical Telemetry Service (WMTS)</t>
  </si>
  <si>
    <t>M608-614</t>
  </si>
  <si>
    <t>700 MHz Public Safety (e.g Police or Fire) &amp; Commercial Spectrum</t>
  </si>
  <si>
    <t>M698-806</t>
  </si>
  <si>
    <t>700 MHz Guard Bands (A Block)</t>
  </si>
  <si>
    <t>M757-758</t>
  </si>
  <si>
    <t>700 MHz Guard Bands (B Block)</t>
  </si>
  <si>
    <t>M775-776</t>
  </si>
  <si>
    <t>M787-788</t>
  </si>
  <si>
    <t>M805-806</t>
  </si>
  <si>
    <t>GSM-850 Uplink</t>
  </si>
  <si>
    <t>M824.2-848.8</t>
  </si>
  <si>
    <t>North &amp; Latin America Cell Service</t>
  </si>
  <si>
    <t>US Air-Ground Radiotelephone Service</t>
  </si>
  <si>
    <t>M849-851</t>
  </si>
  <si>
    <t>Indian LoRa</t>
  </si>
  <si>
    <t>M865-867</t>
  </si>
  <si>
    <t>EU LoRa</t>
  </si>
  <si>
    <t>M867-873</t>
  </si>
  <si>
    <t>EU Z-Wave</t>
  </si>
  <si>
    <t>M868-869</t>
  </si>
  <si>
    <t>EU ZigBee</t>
  </si>
  <si>
    <t>M868-868.6</t>
  </si>
  <si>
    <t>GSM-850 Downlink</t>
  </si>
  <si>
    <t>M869.2-893.8</t>
  </si>
  <si>
    <t>R-GSM-900 Uplink</t>
  </si>
  <si>
    <t>M876-915</t>
  </si>
  <si>
    <t>Europe, Africa, Middle East, &amp; Asia Cell Service</t>
  </si>
  <si>
    <t>E-GSM-900 Uplink</t>
  </si>
  <si>
    <t>M880-915</t>
  </si>
  <si>
    <t>Narrowband Personal Communications Service (PCS)</t>
  </si>
  <si>
    <t>M901-902</t>
  </si>
  <si>
    <t>US LoRa</t>
  </si>
  <si>
    <t>M902-928</t>
  </si>
  <si>
    <t>US ZigBee</t>
  </si>
  <si>
    <t>LoRaWAN</t>
  </si>
  <si>
    <t>M902.3-914.9</t>
  </si>
  <si>
    <t>North America Z-Wave</t>
  </si>
  <si>
    <t>M908-916</t>
  </si>
  <si>
    <t>M915</t>
  </si>
  <si>
    <t>Korean &amp; Japanese LoRa</t>
  </si>
  <si>
    <t>M920-925</t>
  </si>
  <si>
    <t>R-GSM-900 Downlink</t>
  </si>
  <si>
    <t>M921-960</t>
  </si>
  <si>
    <t>E-GSM-900 Downlink</t>
  </si>
  <si>
    <t>M925-960</t>
  </si>
  <si>
    <t>Commercial Paging Upper Band</t>
  </si>
  <si>
    <t>M929-931</t>
  </si>
  <si>
    <t>M930-931</t>
  </si>
  <si>
    <t>M940-941</t>
  </si>
  <si>
    <t>GPS L5 Band</t>
  </si>
  <si>
    <t>M1166.22-1186.68</t>
  </si>
  <si>
    <t>US Military GNSS</t>
  </si>
  <si>
    <t>GALILEO E5a</t>
  </si>
  <si>
    <t>M1166.22-1217.37</t>
  </si>
  <si>
    <t>GLONASS G5</t>
  </si>
  <si>
    <t>M1171-1181</t>
  </si>
  <si>
    <t>BEIDOU B2a</t>
  </si>
  <si>
    <t>GLONASS G3</t>
  </si>
  <si>
    <t>M1192.5-1210.7</t>
  </si>
  <si>
    <t>GALILEO E5b</t>
  </si>
  <si>
    <t>M1196.91-1217.37</t>
  </si>
  <si>
    <t>BEIDOU B2b</t>
  </si>
  <si>
    <t>M1197-1217</t>
  </si>
  <si>
    <t>GPS L2 Band</t>
  </si>
  <si>
    <t>M1212-1242</t>
  </si>
  <si>
    <t>GLONASS G2</t>
  </si>
  <si>
    <t>M1242.9375-1248.625</t>
  </si>
  <si>
    <t>BEIDOU B3I</t>
  </si>
  <si>
    <t>M1258.29-1278.75</t>
  </si>
  <si>
    <t>GALILEO E6</t>
  </si>
  <si>
    <t>M1258.29-1299.21</t>
  </si>
  <si>
    <t>M1395-1400</t>
  </si>
  <si>
    <t>M1427-1432</t>
  </si>
  <si>
    <t>GPS L1 Band</t>
  </si>
  <si>
    <t>M1560-1590</t>
  </si>
  <si>
    <t>US Civilian GNSS</t>
  </si>
  <si>
    <t>GALILEO E1 Band</t>
  </si>
  <si>
    <t>M1563.144-1587.696</t>
  </si>
  <si>
    <t>BEIDOU B1</t>
  </si>
  <si>
    <t>M1559.052-1591.788</t>
  </si>
  <si>
    <t>GLONASS G1</t>
  </si>
  <si>
    <t>M1598.0625-1605.37</t>
  </si>
  <si>
    <t>Advanced Wireless Services (AWS) 3</t>
  </si>
  <si>
    <t>M1695-1710</t>
  </si>
  <si>
    <t>Advanced Wireless Services (AWS) 1</t>
  </si>
  <si>
    <t>M1710-1755</t>
  </si>
  <si>
    <t>M1755-1780</t>
  </si>
  <si>
    <t>GSM-1800 Uplink</t>
  </si>
  <si>
    <t>M1710.2-1784.8</t>
  </si>
  <si>
    <t>GSM-1800 Downlink</t>
  </si>
  <si>
    <t>M1805.2-1879.8</t>
  </si>
  <si>
    <t>GSM-1900 Uplink</t>
  </si>
  <si>
    <t>M1850.2-1909.8</t>
  </si>
  <si>
    <t>Broadband Personal Communications Service (PCS)</t>
  </si>
  <si>
    <t>M1850-1990</t>
  </si>
  <si>
    <t>Digital Enhanced Cordless Telephony System (DECT)</t>
  </si>
  <si>
    <t>M1880-1900</t>
  </si>
  <si>
    <t>Terrestrial International Mobile Telecommunications (IMT-2000)</t>
  </si>
  <si>
    <t>M1900-1980</t>
  </si>
  <si>
    <t>Advanced Wireless Services (AWS) H-Block</t>
  </si>
  <si>
    <t>M1915-1920</t>
  </si>
  <si>
    <t>GSM-1900 Downlink</t>
  </si>
  <si>
    <t>M1930.2-1989.8</t>
  </si>
  <si>
    <t>Satellite Component IMT-2000</t>
  </si>
  <si>
    <t>M1980-2010</t>
  </si>
  <si>
    <t>Broadband Personal Communications Service (PCS) G-Block</t>
  </si>
  <si>
    <t>M1990-1995</t>
  </si>
  <si>
    <t>M1995-2000</t>
  </si>
  <si>
    <t>Advanced Wireless Services (AWS) 4</t>
  </si>
  <si>
    <t>M2000-2020</t>
  </si>
  <si>
    <t>M2010-2025</t>
  </si>
  <si>
    <t>M2110-2170</t>
  </si>
  <si>
    <t>M2110-2155</t>
  </si>
  <si>
    <t>M2155-2180</t>
  </si>
  <si>
    <t>M2170-2200</t>
  </si>
  <si>
    <t>M2180-2200</t>
  </si>
  <si>
    <t>Wireless Communications Service (WCS)</t>
  </si>
  <si>
    <t>M2305-2360</t>
  </si>
  <si>
    <t>Satellite Digital Audio Radio Service (SDARS) (e.g. Sirius XM)</t>
  </si>
  <si>
    <t>M2320-2345</t>
  </si>
  <si>
    <t>M2400</t>
  </si>
  <si>
    <t>Bluetooth</t>
  </si>
  <si>
    <t>M2400-2483.5</t>
  </si>
  <si>
    <t>Worldwide ZigBee</t>
  </si>
  <si>
    <t>WiFi (IEEE 802.11b/g/n/ax)</t>
  </si>
  <si>
    <t>M2400-2495</t>
  </si>
  <si>
    <t>M2500-2690</t>
  </si>
  <si>
    <t>Citizen's Broadband Radio Service (CBRS) (IEEE 802.11y)</t>
  </si>
  <si>
    <t>M3550-3700</t>
  </si>
  <si>
    <t>3650-3700 MHz Radio Service</t>
  </si>
  <si>
    <t>M3650-3700</t>
  </si>
  <si>
    <t>SATCOM Downlink Band</t>
  </si>
  <si>
    <t>M3700-4200</t>
  </si>
  <si>
    <t>WiFi (IEEE 802.11a/h/j/n/ac/ax)</t>
  </si>
  <si>
    <t>M5030-5895</t>
  </si>
  <si>
    <t>Weather Radars</t>
  </si>
  <si>
    <t>M5250-5570</t>
  </si>
  <si>
    <t>M5650-5850</t>
  </si>
  <si>
    <t>M5800</t>
  </si>
  <si>
    <t>Industrial, Scientific and Medical (ISM) Service</t>
  </si>
  <si>
    <t>M5850-5875</t>
  </si>
  <si>
    <t>Intelligent Transportation Systems (ITS) Radio Service</t>
  </si>
  <si>
    <t>M5850-5925</t>
  </si>
  <si>
    <t>SATCOM Uplink Band</t>
  </si>
  <si>
    <t>M5.925-6.425</t>
  </si>
  <si>
    <t>Starlink Consumer Downlink</t>
  </si>
  <si>
    <t>M10700-11700</t>
  </si>
  <si>
    <t>EU Direct Broadcast Satellite (DBS)</t>
  </si>
  <si>
    <t>M10700-12750</t>
  </si>
  <si>
    <t>Fixed Satellite Service (FSS)</t>
  </si>
  <si>
    <t>M11700-12200</t>
  </si>
  <si>
    <t>M11700-12750</t>
  </si>
  <si>
    <t>Direct Broadcast Satellite (DBS)</t>
  </si>
  <si>
    <t>M12200-12700</t>
  </si>
  <si>
    <t>Starlink Consumer Uplink</t>
  </si>
  <si>
    <t>M14000-14500</t>
  </si>
  <si>
    <t>Starlink Gateway Downlink</t>
  </si>
  <si>
    <t>M17800-18600</t>
  </si>
  <si>
    <t>M18800-19300</t>
  </si>
  <si>
    <t>Starlink Gateway Uplink</t>
  </si>
  <si>
    <t>M27500-29100</t>
  </si>
  <si>
    <t>M29500-30000</t>
  </si>
  <si>
    <t>Starlink Consumer &amp; Gateway Downlink</t>
  </si>
  <si>
    <t>M37500-42500</t>
  </si>
  <si>
    <t>Starlink Consumer &amp; Gateway Uplink</t>
  </si>
  <si>
    <t>M47200-50200</t>
  </si>
  <si>
    <t>M50400-51400</t>
  </si>
  <si>
    <t>Moderate Foliage (Restricted)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</si>
</sst>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2">
    <numFmt numFmtId="164" formatCode="0\ &quot;W&quot;"/>
    <numFmt numFmtId="165" formatCode="0.00\ &quot;dBm&quot;"/>
    <numFmt numFmtId="166" formatCode="0\ &quot;dBi&quot;"/>
    <numFmt numFmtId="167" formatCode="0.00\ &quot;MHz&quot;"/>
    <numFmt numFmtId="168" formatCode="0\ &quot;dBm&quot;"/>
    <numFmt numFmtId="169" formatCode="0.00\ &quot;km&quot;"/>
    <numFmt numFmtId="170" formatCode="0\ &quot;m&quot;"/>
    <numFmt numFmtId="171" formatCode="0\ &quot;km&quot;"/>
    <numFmt numFmtId="172" formatCode="0.00\ &quot;dB&quot;"/>
    <numFmt numFmtId="173" formatCode="0\ &quot;dB&quot;"/>
    <numFmt numFmtId="174" formatCode="0.0\ &quot;W&quot;"/>
    <numFmt numFmtId="175" formatCode="&quot;~&quot;##,##0.00\ &quot;km&quot;"/>
    <numFmt numFmtId="176" formatCode="0.00\ &quot;kHz&quot;"/>
    <numFmt numFmtId="177" formatCode="0.0\ &quot;m&quot;"/>
    <numFmt numFmtId="178" formatCode="0.0000\ &quot;W&quot;"/>
    <numFmt numFmtId="179" formatCode="0.0"/>
    <numFmt numFmtId="180" formatCode="0.000\ &quot;MHz&quot;"/>
    <numFmt numFmtId="181" formatCode="0\ &quot;°F&quot;"/>
    <numFmt numFmtId="182" formatCode="0.0\ &quot;°C&quot;"/>
    <numFmt numFmtId="183" formatCode="0.000&quot; MHz&quot;"/>
    <numFmt numFmtId="184" formatCode="0&quot;°&quot;"/>
    <numFmt numFmtId="185" formatCode="0&quot; dBm&quot;"/>
    <numFmt numFmtId="186" formatCode="0.000\ &quot;W&quot;"/>
    <numFmt numFmtId="187" formatCode="0.00\ &quot;m&quot;"/>
    <numFmt numFmtId="188" formatCode="0.000\ &quot;rad&quot;"/>
    <numFmt numFmtId="189" formatCode="0.000\ &quot;km&quot;"/>
    <numFmt numFmtId="190" formatCode="0.0&quot;°&quot;"/>
    <numFmt numFmtId="191" formatCode="0.000000000000000"/>
    <numFmt numFmtId="192" formatCode="&quot;Reduced by &quot;0.00%"/>
    <numFmt numFmtId="193" formatCode="0.00000000000"/>
    <numFmt numFmtId="194" formatCode="0.00\ &quot;acres&quot;"/>
    <numFmt numFmtId="195" formatCode="0.00000000000000"/>
    <numFmt numFmtId="196" formatCode="&quot;~&quot;0.00\ &quot;acres&quot;"/>
    <numFmt numFmtId="197" formatCode="0.00&quot; m&quot;"/>
    <numFmt numFmtId="198" formatCode="0.000&quot; m&quot;"/>
    <numFmt numFmtId="199" formatCode="0.000&quot; ft&quot;"/>
    <numFmt numFmtId="200" formatCode="0.000&quot; in&quot;"/>
    <numFmt numFmtId="201" formatCode="0.000&quot; cm&quot;"/>
    <numFmt numFmtId="202" formatCode="0.000"/>
    <numFmt numFmtId="203" formatCode="&quot;~&quot;0.00&quot; m&quot;"/>
    <numFmt numFmtId="204" formatCode="0.0000"/>
    <numFmt numFmtId="205" formatCode="0.00\ &quot;dBi&quot;"/>
  </numFmts>
  <fonts count="27" x14ac:knownFonts="1">
    <font>
      <sz val="11"/>
      <color theme="1"/>
      <name val="Calibri"/>
      <family val="2"/>
      <scheme val="minor"/>
    </font>
    <font>
      <sz val="12"/>
      <color theme="1"/>
      <name val="Arial"/>
      <family val="2"/>
    </font>
    <font>
      <b/>
      <sz val="12"/>
      <color theme="1"/>
      <name val="Arial"/>
      <family val="2"/>
    </font>
    <font>
      <b/>
      <sz val="11"/>
      <color theme="1"/>
      <name val="Calibri"/>
      <family val="2"/>
      <scheme val="minor"/>
    </font>
    <font>
      <sz val="36"/>
      <color theme="1"/>
      <name val="Arial"/>
      <family val="2"/>
    </font>
    <font>
      <b/>
      <sz val="18"/>
      <color theme="1"/>
      <name val="Arial"/>
      <family val="2"/>
    </font>
    <font>
      <sz val="14"/>
      <color theme="1"/>
      <name val="Arial"/>
      <family val="2"/>
    </font>
    <font>
      <b/>
      <sz val="12"/>
      <color rgb="FF00B050"/>
      <name val="Arial"/>
      <family val="2"/>
    </font>
    <font>
      <b/>
      <sz val="14"/>
      <color theme="1"/>
      <name val="Arial"/>
      <family val="2"/>
    </font>
    <font>
      <b/>
      <sz val="16"/>
      <color theme="1"/>
      <name val="Arial"/>
      <family val="2"/>
    </font>
    <font>
      <sz val="8"/>
      <name val="Calibri"/>
      <family val="2"/>
      <scheme val="minor"/>
    </font>
    <font>
      <i/>
      <sz val="12"/>
      <color theme="1"/>
      <name val="Arial"/>
      <family val="2"/>
    </font>
    <font>
      <sz val="11"/>
      <color theme="1"/>
      <name val="Calibri"/>
      <family val="2"/>
      <scheme val="minor"/>
    </font>
    <font>
      <sz val="24"/>
      <color theme="1"/>
      <name val="Arial"/>
      <family val="2"/>
    </font>
    <font>
      <b/>
      <sz val="12"/>
      <color theme="0"/>
      <name val="Arial"/>
      <family val="2"/>
    </font>
    <font>
      <sz val="10"/>
      <color theme="1"/>
      <name val="Arial"/>
      <family val="2"/>
    </font>
    <font>
      <vertAlign val="superscript"/>
      <sz val="10"/>
      <color theme="1"/>
      <name val="Arial"/>
      <family val="2"/>
    </font>
    <font>
      <vertAlign val="subscript"/>
      <sz val="10"/>
      <color theme="1"/>
      <name val="Arial"/>
      <family val="2"/>
    </font>
    <font>
      <sz val="8"/>
      <color theme="1"/>
      <name val="Arial"/>
      <family val="2"/>
    </font>
    <font>
      <i/>
      <sz val="8"/>
      <color theme="1"/>
      <name val="Arial"/>
      <family val="2"/>
    </font>
    <font>
      <b/>
      <sz val="10"/>
      <color theme="1"/>
      <name val="Arial"/>
      <family val="2"/>
    </font>
    <font>
      <b/>
      <sz val="9"/>
      <color rgb="FF00B050"/>
      <name val="Arial"/>
      <family val="2"/>
    </font>
    <font>
      <sz val="12"/>
      <color theme="1"/>
      <name val="Calibri"/>
      <family val="2"/>
    </font>
    <font>
      <b/>
      <u/>
      <sz val="12"/>
      <color theme="1"/>
      <name val="Arial"/>
      <family val="2"/>
    </font>
    <font>
      <sz val="16"/>
      <color theme="1"/>
      <name val="Arial"/>
      <family val="2"/>
    </font>
    <font>
      <b/>
      <sz val="20"/>
      <color theme="1"/>
      <name val="Arial"/>
      <family val="2"/>
    </font>
    <font>
      <b/>
      <sz val="18"/>
      <color rgb="FF000000"/>
      <name val="Arial"/>
      <family val="2"/>
    </font>
  </fonts>
  <fills count="17">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92D050"/>
        <bgColor indexed="64"/>
      </patternFill>
    </fill>
    <fill>
      <patternFill patternType="solid">
        <fgColor rgb="FFFFFFCC"/>
        <bgColor indexed="64"/>
      </patternFill>
    </fill>
    <fill>
      <patternFill patternType="solid">
        <fgColor rgb="FF7030A0"/>
        <bgColor indexed="64"/>
      </patternFill>
    </fill>
    <fill>
      <patternFill patternType="solid">
        <fgColor theme="9" tint="0.79998168889431442"/>
        <bgColor indexed="64"/>
      </patternFill>
    </fill>
    <fill>
      <patternFill patternType="solid">
        <fgColor theme="5" tint="0.79998168889431442"/>
        <bgColor indexed="64"/>
      </patternFill>
    </fill>
  </fills>
  <borders count="6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s>
  <cellStyleXfs count="2">
    <xf numFmtId="0" fontId="0" fillId="0" borderId="0"/>
    <xf numFmtId="9" fontId="12" fillId="0" borderId="0" applyFont="0" applyFill="0" applyBorder="0" applyAlignment="0" applyProtection="0"/>
  </cellStyleXfs>
  <cellXfs count="612">
    <xf numFmtId="0" fontId="0" fillId="0" borderId="0" xfId="0"/>
    <xf numFmtId="0" fontId="1" fillId="2" borderId="0" xfId="0" applyFont="1" applyFill="1" applyAlignment="1">
      <alignment horizontal="center" vertical="center"/>
    </xf>
    <xf numFmtId="0" fontId="1" fillId="6" borderId="15" xfId="0" applyFont="1" applyFill="1" applyBorder="1" applyAlignment="1">
      <alignment horizontal="center" vertical="center"/>
    </xf>
    <xf numFmtId="0" fontId="1" fillId="6" borderId="16" xfId="0" applyFont="1" applyFill="1" applyBorder="1" applyAlignment="1">
      <alignment horizontal="center" vertical="center"/>
    </xf>
    <xf numFmtId="167" fontId="1" fillId="6" borderId="0" xfId="0" applyNumberFormat="1" applyFont="1" applyFill="1" applyAlignment="1">
      <alignment horizontal="center" vertical="center"/>
    </xf>
    <xf numFmtId="0" fontId="1" fillId="6" borderId="0" xfId="0" applyFont="1" applyFill="1" applyAlignment="1">
      <alignment horizontal="center" vertical="center" wrapText="1"/>
    </xf>
    <xf numFmtId="170" fontId="1" fillId="6" borderId="0" xfId="0" applyNumberFormat="1" applyFont="1" applyFill="1" applyAlignment="1">
      <alignment horizontal="center" vertical="center"/>
    </xf>
    <xf numFmtId="171" fontId="1" fillId="6" borderId="0" xfId="0" applyNumberFormat="1" applyFont="1" applyFill="1" applyAlignment="1">
      <alignment horizontal="center" vertical="center"/>
    </xf>
    <xf numFmtId="173" fontId="1" fillId="6" borderId="22" xfId="0" applyNumberFormat="1" applyFont="1" applyFill="1" applyBorder="1" applyAlignment="1">
      <alignment horizontal="center" vertical="center"/>
    </xf>
    <xf numFmtId="164" fontId="1" fillId="6" borderId="0" xfId="0" applyNumberFormat="1" applyFont="1" applyFill="1" applyAlignment="1">
      <alignment horizontal="center" vertical="center"/>
    </xf>
    <xf numFmtId="0" fontId="1" fillId="2" borderId="8" xfId="0" applyFont="1" applyFill="1" applyBorder="1" applyAlignment="1">
      <alignment vertical="center"/>
    </xf>
    <xf numFmtId="0" fontId="1" fillId="2" borderId="0" xfId="0" applyFont="1" applyFill="1" applyAlignment="1">
      <alignment vertical="center"/>
    </xf>
    <xf numFmtId="0" fontId="1" fillId="2" borderId="9" xfId="0" applyFont="1" applyFill="1" applyBorder="1" applyAlignment="1">
      <alignment vertical="center"/>
    </xf>
    <xf numFmtId="0" fontId="1" fillId="2" borderId="10" xfId="0" applyFont="1" applyFill="1" applyBorder="1" applyAlignment="1">
      <alignment vertical="center"/>
    </xf>
    <xf numFmtId="0" fontId="1" fillId="2" borderId="11" xfId="0" applyFont="1" applyFill="1" applyBorder="1" applyAlignment="1">
      <alignment vertical="center"/>
    </xf>
    <xf numFmtId="0" fontId="1" fillId="2" borderId="12" xfId="0" applyFont="1" applyFill="1" applyBorder="1" applyAlignment="1">
      <alignment vertical="center"/>
    </xf>
    <xf numFmtId="169" fontId="1" fillId="2" borderId="25" xfId="0" applyNumberFormat="1" applyFont="1" applyFill="1" applyBorder="1" applyAlignment="1">
      <alignment horizontal="center" vertical="center"/>
    </xf>
    <xf numFmtId="0" fontId="0" fillId="2" borderId="0" xfId="0" applyFill="1" applyAlignment="1">
      <alignment horizontal="center" vertical="center"/>
    </xf>
    <xf numFmtId="0" fontId="6" fillId="2" borderId="23" xfId="0" applyFont="1" applyFill="1" applyBorder="1" applyAlignment="1">
      <alignment horizontal="center" vertical="center" wrapText="1"/>
    </xf>
    <xf numFmtId="0" fontId="1" fillId="7" borderId="5" xfId="0" applyFont="1" applyFill="1" applyBorder="1" applyAlignment="1">
      <alignment horizontal="center" vertical="center"/>
    </xf>
    <xf numFmtId="0" fontId="1" fillId="7" borderId="7" xfId="0" applyFont="1" applyFill="1" applyBorder="1" applyAlignment="1">
      <alignment horizontal="center" vertical="center"/>
    </xf>
    <xf numFmtId="0" fontId="1" fillId="7" borderId="8" xfId="0" applyFont="1" applyFill="1" applyBorder="1" applyAlignment="1">
      <alignment horizontal="center" vertical="center"/>
    </xf>
    <xf numFmtId="0" fontId="1" fillId="7" borderId="0" xfId="0" applyFont="1" applyFill="1" applyAlignment="1">
      <alignment horizontal="center" vertical="center"/>
    </xf>
    <xf numFmtId="0" fontId="1" fillId="7" borderId="9" xfId="0" applyFont="1" applyFill="1" applyBorder="1" applyAlignment="1">
      <alignment horizontal="center" vertical="center"/>
    </xf>
    <xf numFmtId="0" fontId="1" fillId="7" borderId="8" xfId="0" applyFont="1" applyFill="1" applyBorder="1" applyAlignment="1">
      <alignment vertical="top" wrapText="1"/>
    </xf>
    <xf numFmtId="0" fontId="2" fillId="2" borderId="8" xfId="0" applyFont="1" applyFill="1" applyBorder="1" applyAlignment="1">
      <alignment horizontal="center" vertical="center" wrapText="1"/>
    </xf>
    <xf numFmtId="0" fontId="1" fillId="2" borderId="0" xfId="0" applyFont="1" applyFill="1" applyAlignment="1">
      <alignment vertical="top" wrapText="1"/>
    </xf>
    <xf numFmtId="0" fontId="1" fillId="7" borderId="10" xfId="0" applyFont="1" applyFill="1" applyBorder="1" applyAlignment="1">
      <alignment vertical="top" wrapText="1"/>
    </xf>
    <xf numFmtId="0" fontId="2" fillId="7" borderId="17" xfId="0" applyFont="1" applyFill="1" applyBorder="1" applyAlignment="1">
      <alignment horizontal="center" vertical="center" wrapText="1"/>
    </xf>
    <xf numFmtId="0" fontId="1" fillId="7" borderId="17" xfId="0" applyFont="1" applyFill="1" applyBorder="1" applyAlignment="1">
      <alignment horizontal="center" vertical="center" wrapText="1"/>
    </xf>
    <xf numFmtId="0" fontId="1" fillId="7" borderId="18" xfId="0" applyFont="1" applyFill="1" applyBorder="1" applyAlignment="1">
      <alignment horizontal="center" vertical="center" wrapText="1"/>
    </xf>
    <xf numFmtId="0" fontId="1" fillId="7" borderId="1" xfId="0" applyFont="1" applyFill="1" applyBorder="1" applyAlignment="1">
      <alignment horizontal="center" vertical="center"/>
    </xf>
    <xf numFmtId="0" fontId="1" fillId="7" borderId="5"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1" fillId="7" borderId="7" xfId="0" quotePrefix="1" applyFont="1" applyFill="1" applyBorder="1" applyAlignment="1">
      <alignment horizontal="center" vertical="center" wrapText="1"/>
    </xf>
    <xf numFmtId="0" fontId="1" fillId="7" borderId="6" xfId="0" quotePrefix="1" applyFont="1" applyFill="1" applyBorder="1" applyAlignment="1">
      <alignment horizontal="center" vertical="center" wrapText="1"/>
    </xf>
    <xf numFmtId="0" fontId="1" fillId="7" borderId="21" xfId="0" applyFont="1" applyFill="1" applyBorder="1" applyAlignment="1">
      <alignment horizontal="center" vertical="center" wrapText="1"/>
    </xf>
    <xf numFmtId="0" fontId="1" fillId="7" borderId="8" xfId="0" applyFont="1" applyFill="1" applyBorder="1" applyAlignment="1">
      <alignment horizontal="center" vertical="center" wrapText="1"/>
    </xf>
    <xf numFmtId="0" fontId="1" fillId="7" borderId="9" xfId="0" quotePrefix="1" applyFont="1" applyFill="1" applyBorder="1" applyAlignment="1">
      <alignment horizontal="center" vertical="center" wrapText="1"/>
    </xf>
    <xf numFmtId="0" fontId="1" fillId="7" borderId="0" xfId="0" quotePrefix="1" applyFont="1" applyFill="1" applyAlignment="1">
      <alignment horizontal="center" vertical="center" wrapText="1"/>
    </xf>
    <xf numFmtId="0" fontId="1" fillId="7" borderId="18"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11"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4" xfId="0" applyFont="1" applyFill="1" applyBorder="1" applyAlignment="1">
      <alignment horizontal="center" vertical="center"/>
    </xf>
    <xf numFmtId="0" fontId="1" fillId="7" borderId="12" xfId="0" applyFont="1" applyFill="1" applyBorder="1" applyAlignment="1">
      <alignment horizontal="center" vertical="center"/>
    </xf>
    <xf numFmtId="0" fontId="3" fillId="2" borderId="0" xfId="0" applyFont="1" applyFill="1" applyAlignment="1">
      <alignment horizontal="center" vertical="center"/>
    </xf>
    <xf numFmtId="0" fontId="1" fillId="2" borderId="0" xfId="0" applyFont="1" applyFill="1"/>
    <xf numFmtId="0" fontId="7" fillId="2" borderId="0" xfId="0" applyFont="1" applyFill="1" applyAlignment="1">
      <alignment vertical="center"/>
    </xf>
    <xf numFmtId="0" fontId="1" fillId="4" borderId="18" xfId="0" applyFont="1" applyFill="1" applyBorder="1" applyAlignment="1">
      <alignment horizontal="center" vertical="center"/>
    </xf>
    <xf numFmtId="0" fontId="1" fillId="4" borderId="12" xfId="0" applyFont="1" applyFill="1" applyBorder="1" applyAlignment="1">
      <alignment horizontal="center" vertical="center"/>
    </xf>
    <xf numFmtId="0" fontId="1" fillId="6" borderId="9" xfId="0" applyFont="1" applyFill="1" applyBorder="1" applyAlignment="1">
      <alignment horizontal="center" vertical="center"/>
    </xf>
    <xf numFmtId="0" fontId="1" fillId="2" borderId="28" xfId="0" applyFont="1" applyFill="1" applyBorder="1" applyAlignment="1">
      <alignment horizontal="center"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1" fillId="2" borderId="27" xfId="0" applyFont="1" applyFill="1" applyBorder="1" applyAlignment="1">
      <alignment horizontal="center" vertical="center"/>
    </xf>
    <xf numFmtId="1" fontId="2" fillId="0" borderId="24" xfId="0" applyNumberFormat="1" applyFont="1" applyBorder="1" applyAlignment="1">
      <alignment horizontal="center" vertical="center"/>
    </xf>
    <xf numFmtId="189" fontId="1" fillId="0" borderId="40" xfId="0" applyNumberFormat="1" applyFont="1" applyBorder="1" applyAlignment="1">
      <alignment horizontal="center" vertical="center"/>
    </xf>
    <xf numFmtId="1" fontId="1" fillId="0" borderId="40" xfId="0" applyNumberFormat="1" applyFont="1" applyBorder="1" applyAlignment="1">
      <alignment horizontal="center" vertical="center"/>
    </xf>
    <xf numFmtId="1" fontId="1" fillId="0" borderId="44" xfId="0" applyNumberFormat="1" applyFont="1" applyBorder="1" applyAlignment="1">
      <alignment horizontal="center" vertical="center"/>
    </xf>
    <xf numFmtId="0" fontId="1" fillId="2" borderId="26" xfId="0" applyFont="1" applyFill="1" applyBorder="1" applyAlignment="1">
      <alignment horizontal="center" vertical="center"/>
    </xf>
    <xf numFmtId="189" fontId="1" fillId="0" borderId="49" xfId="0" applyNumberFormat="1" applyFont="1" applyBorder="1" applyAlignment="1">
      <alignment horizontal="center" vertical="center"/>
    </xf>
    <xf numFmtId="1" fontId="1" fillId="0" borderId="34" xfId="0" applyNumberFormat="1" applyFont="1" applyBorder="1" applyAlignment="1">
      <alignment horizontal="center" vertical="center"/>
    </xf>
    <xf numFmtId="1" fontId="1" fillId="0" borderId="35" xfId="0" applyNumberFormat="1" applyFont="1" applyBorder="1" applyAlignment="1">
      <alignment horizontal="center" vertical="center"/>
    </xf>
    <xf numFmtId="188" fontId="1" fillId="2" borderId="9" xfId="0" applyNumberFormat="1" applyFont="1" applyFill="1" applyBorder="1" applyAlignment="1">
      <alignment horizontal="center" vertical="center"/>
    </xf>
    <xf numFmtId="189" fontId="1" fillId="0" borderId="48" xfId="0" applyNumberFormat="1" applyFont="1" applyBorder="1" applyAlignment="1">
      <alignment horizontal="center" vertical="center"/>
    </xf>
    <xf numFmtId="189" fontId="1" fillId="0" borderId="43" xfId="0" applyNumberFormat="1" applyFont="1" applyBorder="1" applyAlignment="1">
      <alignment horizontal="center" vertical="center"/>
    </xf>
    <xf numFmtId="1" fontId="1" fillId="0" borderId="43" xfId="0" applyNumberFormat="1" applyFont="1" applyBorder="1" applyAlignment="1">
      <alignment horizontal="center" vertical="center"/>
    </xf>
    <xf numFmtId="1" fontId="1" fillId="0" borderId="45" xfId="0" applyNumberFormat="1" applyFont="1" applyBorder="1" applyAlignment="1">
      <alignment horizontal="center" vertical="center"/>
    </xf>
    <xf numFmtId="1" fontId="1" fillId="2" borderId="0" xfId="0" applyNumberFormat="1" applyFont="1" applyFill="1" applyAlignment="1">
      <alignment horizontal="center" vertical="center"/>
    </xf>
    <xf numFmtId="0" fontId="2" fillId="0" borderId="4" xfId="0" applyFont="1" applyBorder="1" applyAlignment="1">
      <alignment horizontal="center" vertical="center"/>
    </xf>
    <xf numFmtId="0" fontId="1" fillId="2" borderId="34" xfId="0" applyFont="1" applyFill="1" applyBorder="1" applyAlignment="1">
      <alignment horizontal="center" vertical="center"/>
    </xf>
    <xf numFmtId="0" fontId="1" fillId="2" borderId="50" xfId="0" applyFont="1" applyFill="1" applyBorder="1" applyAlignment="1">
      <alignment horizontal="center" vertical="center" wrapText="1"/>
    </xf>
    <xf numFmtId="0" fontId="1" fillId="2" borderId="51"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3" xfId="0" applyFont="1" applyFill="1" applyBorder="1" applyAlignment="1">
      <alignment horizontal="center" vertical="center"/>
    </xf>
    <xf numFmtId="0" fontId="2" fillId="2" borderId="24" xfId="0" applyFont="1" applyFill="1" applyBorder="1" applyAlignment="1">
      <alignment horizontal="center" vertical="center"/>
    </xf>
    <xf numFmtId="0" fontId="2" fillId="2" borderId="25" xfId="0" applyFont="1" applyFill="1" applyBorder="1" applyAlignment="1">
      <alignment horizontal="center" vertical="center"/>
    </xf>
    <xf numFmtId="0" fontId="2" fillId="2" borderId="46" xfId="0" applyFont="1" applyFill="1" applyBorder="1" applyAlignment="1">
      <alignment horizontal="center" vertical="center" wrapText="1"/>
    </xf>
    <xf numFmtId="0" fontId="1" fillId="2" borderId="52" xfId="0" applyFont="1" applyFill="1" applyBorder="1" applyAlignment="1">
      <alignment horizontal="center" vertical="center" wrapText="1"/>
    </xf>
    <xf numFmtId="187" fontId="1" fillId="2" borderId="9" xfId="0" applyNumberFormat="1" applyFont="1" applyFill="1" applyBorder="1" applyAlignment="1">
      <alignment horizontal="center" vertical="center"/>
    </xf>
    <xf numFmtId="0" fontId="1" fillId="6" borderId="0" xfId="0" applyFont="1" applyFill="1" applyAlignment="1">
      <alignment vertical="center"/>
    </xf>
    <xf numFmtId="187" fontId="1" fillId="2" borderId="7" xfId="0" applyNumberFormat="1" applyFont="1" applyFill="1" applyBorder="1" applyAlignment="1">
      <alignment horizontal="center" vertical="center"/>
    </xf>
    <xf numFmtId="192" fontId="1" fillId="2" borderId="12" xfId="1" applyNumberFormat="1" applyFont="1" applyFill="1" applyBorder="1" applyAlignment="1">
      <alignment horizontal="center" vertical="center"/>
    </xf>
    <xf numFmtId="0" fontId="1" fillId="6" borderId="6" xfId="0" applyFont="1" applyFill="1" applyBorder="1" applyAlignment="1">
      <alignment vertical="center"/>
    </xf>
    <xf numFmtId="193" fontId="1" fillId="2" borderId="0" xfId="0" applyNumberFormat="1" applyFont="1" applyFill="1" applyAlignment="1">
      <alignment horizontal="center" vertical="center"/>
    </xf>
    <xf numFmtId="195" fontId="1" fillId="2" borderId="0" xfId="0" applyNumberFormat="1" applyFont="1" applyFill="1" applyAlignment="1">
      <alignment horizontal="center" vertical="center"/>
    </xf>
    <xf numFmtId="0" fontId="2" fillId="2" borderId="7" xfId="0" applyFont="1" applyFill="1" applyBorder="1" applyAlignment="1">
      <alignment horizontal="center" vertical="center"/>
    </xf>
    <xf numFmtId="0" fontId="2" fillId="2" borderId="0" xfId="0" applyFont="1" applyFill="1" applyAlignment="1">
      <alignment vertical="center"/>
    </xf>
    <xf numFmtId="169" fontId="1" fillId="2" borderId="9" xfId="0" applyNumberFormat="1" applyFont="1" applyFill="1" applyBorder="1" applyAlignment="1">
      <alignment horizontal="center" vertical="center"/>
    </xf>
    <xf numFmtId="194" fontId="1" fillId="2" borderId="0" xfId="0" applyNumberFormat="1" applyFont="1" applyFill="1" applyAlignment="1">
      <alignment horizontal="center" vertical="center"/>
    </xf>
    <xf numFmtId="189" fontId="1" fillId="13" borderId="9" xfId="0" applyNumberFormat="1" applyFont="1" applyFill="1" applyBorder="1" applyAlignment="1">
      <alignment horizontal="center" vertical="center"/>
    </xf>
    <xf numFmtId="189" fontId="1" fillId="13" borderId="12" xfId="0" applyNumberFormat="1" applyFont="1" applyFill="1" applyBorder="1" applyAlignment="1">
      <alignment horizontal="center" vertical="center"/>
    </xf>
    <xf numFmtId="0" fontId="14" fillId="14" borderId="0" xfId="0" applyFont="1" applyFill="1" applyAlignment="1">
      <alignment horizontal="center" vertical="center"/>
    </xf>
    <xf numFmtId="198" fontId="15" fillId="0" borderId="9" xfId="0" applyNumberFormat="1" applyFont="1" applyBorder="1"/>
    <xf numFmtId="199" fontId="15" fillId="0" borderId="9" xfId="0" applyNumberFormat="1" applyFont="1" applyBorder="1"/>
    <xf numFmtId="200" fontId="15" fillId="0" borderId="9" xfId="0" applyNumberFormat="1" applyFont="1" applyBorder="1"/>
    <xf numFmtId="0" fontId="15" fillId="0" borderId="60" xfId="0" applyFont="1" applyBorder="1" applyAlignment="1">
      <alignment horizontal="center" vertical="center"/>
    </xf>
    <xf numFmtId="0" fontId="15" fillId="0" borderId="41" xfId="0" applyFont="1" applyBorder="1" applyAlignment="1">
      <alignment horizontal="center" vertical="center"/>
    </xf>
    <xf numFmtId="198" fontId="15" fillId="0" borderId="28" xfId="0" applyNumberFormat="1" applyFont="1" applyBorder="1"/>
    <xf numFmtId="199" fontId="15" fillId="0" borderId="28" xfId="0" applyNumberFormat="1" applyFont="1" applyBorder="1"/>
    <xf numFmtId="200" fontId="15" fillId="0" borderId="28" xfId="0" applyNumberFormat="1" applyFont="1" applyBorder="1"/>
    <xf numFmtId="201" fontId="15" fillId="0" borderId="61" xfId="0" applyNumberFormat="1" applyFont="1" applyBorder="1"/>
    <xf numFmtId="201" fontId="15" fillId="0" borderId="62" xfId="0" applyNumberFormat="1" applyFont="1" applyBorder="1"/>
    <xf numFmtId="0" fontId="15" fillId="4" borderId="60" xfId="0" applyFont="1" applyFill="1" applyBorder="1" applyAlignment="1">
      <alignment horizontal="center" vertical="center"/>
    </xf>
    <xf numFmtId="0" fontId="15" fillId="4" borderId="41" xfId="0" applyFont="1" applyFill="1" applyBorder="1" applyAlignment="1">
      <alignment horizontal="center" vertical="center"/>
    </xf>
    <xf numFmtId="198" fontId="15" fillId="4" borderId="9" xfId="0" applyNumberFormat="1" applyFont="1" applyFill="1" applyBorder="1"/>
    <xf numFmtId="198" fontId="15" fillId="4" borderId="28" xfId="0" applyNumberFormat="1" applyFont="1" applyFill="1" applyBorder="1"/>
    <xf numFmtId="199" fontId="15" fillId="4" borderId="9" xfId="0" applyNumberFormat="1" applyFont="1" applyFill="1" applyBorder="1"/>
    <xf numFmtId="199" fontId="15" fillId="4" borderId="28" xfId="0" applyNumberFormat="1" applyFont="1" applyFill="1" applyBorder="1"/>
    <xf numFmtId="200" fontId="15" fillId="4" borderId="9" xfId="0" applyNumberFormat="1" applyFont="1" applyFill="1" applyBorder="1"/>
    <xf numFmtId="200" fontId="15" fillId="4" borderId="28" xfId="0" applyNumberFormat="1" applyFont="1" applyFill="1" applyBorder="1"/>
    <xf numFmtId="201" fontId="15" fillId="4" borderId="62" xfId="0" applyNumberFormat="1" applyFont="1" applyFill="1" applyBorder="1"/>
    <xf numFmtId="201" fontId="15" fillId="4" borderId="61" xfId="0" applyNumberFormat="1" applyFont="1" applyFill="1" applyBorder="1"/>
    <xf numFmtId="0" fontId="15" fillId="2" borderId="0" xfId="0" applyFont="1" applyFill="1"/>
    <xf numFmtId="0" fontId="15" fillId="5" borderId="8" xfId="0" applyFont="1" applyFill="1" applyBorder="1"/>
    <xf numFmtId="0" fontId="15" fillId="4" borderId="8" xfId="0" applyFont="1" applyFill="1" applyBorder="1"/>
    <xf numFmtId="0" fontId="15" fillId="6" borderId="8" xfId="0" applyFont="1" applyFill="1" applyBorder="1"/>
    <xf numFmtId="0" fontId="15" fillId="6" borderId="0" xfId="0" applyFont="1" applyFill="1"/>
    <xf numFmtId="0" fontId="15" fillId="6" borderId="9" xfId="0" applyFont="1" applyFill="1" applyBorder="1"/>
    <xf numFmtId="183" fontId="1" fillId="5" borderId="26" xfId="0" applyNumberFormat="1" applyFont="1" applyFill="1" applyBorder="1" applyAlignment="1" applyProtection="1">
      <alignment horizontal="center" vertical="center"/>
      <protection locked="0"/>
    </xf>
    <xf numFmtId="183" fontId="1" fillId="5" borderId="28" xfId="0" applyNumberFormat="1" applyFont="1" applyFill="1" applyBorder="1" applyAlignment="1" applyProtection="1">
      <alignment horizontal="center" vertical="center"/>
      <protection locked="0"/>
    </xf>
    <xf numFmtId="183" fontId="1" fillId="5" borderId="27" xfId="0" applyNumberFormat="1" applyFont="1" applyFill="1" applyBorder="1" applyAlignment="1" applyProtection="1">
      <alignment horizontal="center" vertical="center"/>
      <protection locked="0"/>
    </xf>
    <xf numFmtId="0" fontId="1" fillId="5" borderId="36" xfId="0" applyFont="1" applyFill="1" applyBorder="1" applyAlignment="1" applyProtection="1">
      <alignment horizontal="center" vertical="center"/>
      <protection locked="0"/>
    </xf>
    <xf numFmtId="0" fontId="1" fillId="5" borderId="37" xfId="0" applyFont="1" applyFill="1" applyBorder="1" applyAlignment="1" applyProtection="1">
      <alignment horizontal="center" vertical="center"/>
      <protection locked="0"/>
    </xf>
    <xf numFmtId="0" fontId="2" fillId="5" borderId="37" xfId="0" applyFont="1" applyFill="1" applyBorder="1" applyAlignment="1" applyProtection="1">
      <alignment horizontal="center" vertical="center"/>
      <protection locked="0"/>
    </xf>
    <xf numFmtId="0" fontId="1" fillId="5" borderId="38" xfId="0" applyFont="1" applyFill="1" applyBorder="1" applyAlignment="1" applyProtection="1">
      <alignment horizontal="center" vertical="center"/>
      <protection locked="0"/>
    </xf>
    <xf numFmtId="184" fontId="1" fillId="5" borderId="36" xfId="0" applyNumberFormat="1" applyFont="1" applyFill="1" applyBorder="1" applyAlignment="1" applyProtection="1">
      <alignment horizontal="center" vertical="center"/>
      <protection locked="0"/>
    </xf>
    <xf numFmtId="184" fontId="1" fillId="5" borderId="37" xfId="0" applyNumberFormat="1" applyFont="1" applyFill="1" applyBorder="1" applyAlignment="1" applyProtection="1">
      <alignment horizontal="center" vertical="center"/>
      <protection locked="0"/>
    </xf>
    <xf numFmtId="184" fontId="1" fillId="5" borderId="38" xfId="0" applyNumberFormat="1" applyFont="1" applyFill="1" applyBorder="1" applyAlignment="1" applyProtection="1">
      <alignment horizontal="center" vertical="center"/>
      <protection locked="0"/>
    </xf>
    <xf numFmtId="185" fontId="1" fillId="5" borderId="6" xfId="0" applyNumberFormat="1" applyFont="1" applyFill="1" applyBorder="1" applyAlignment="1" applyProtection="1">
      <alignment horizontal="center" vertical="center"/>
      <protection locked="0"/>
    </xf>
    <xf numFmtId="185" fontId="1" fillId="5" borderId="0" xfId="0" applyNumberFormat="1" applyFont="1" applyFill="1" applyAlignment="1" applyProtection="1">
      <alignment horizontal="center" vertical="center"/>
      <protection locked="0"/>
    </xf>
    <xf numFmtId="185" fontId="1" fillId="5" borderId="11" xfId="0" applyNumberFormat="1" applyFont="1" applyFill="1" applyBorder="1" applyAlignment="1" applyProtection="1">
      <alignment horizontal="center" vertical="center"/>
      <protection locked="0"/>
    </xf>
    <xf numFmtId="186" fontId="1" fillId="5" borderId="7" xfId="0" applyNumberFormat="1" applyFont="1" applyFill="1" applyBorder="1" applyAlignment="1" applyProtection="1">
      <alignment horizontal="center" vertical="center"/>
      <protection locked="0"/>
    </xf>
    <xf numFmtId="186" fontId="1" fillId="5" borderId="12" xfId="0" applyNumberFormat="1" applyFont="1" applyFill="1" applyBorder="1" applyAlignment="1" applyProtection="1">
      <alignment horizontal="center" vertical="center"/>
      <protection locked="0"/>
    </xf>
    <xf numFmtId="0" fontId="1" fillId="5" borderId="7" xfId="0" applyFont="1" applyFill="1" applyBorder="1" applyAlignment="1" applyProtection="1">
      <alignment horizontal="center" vertical="center"/>
      <protection locked="0"/>
    </xf>
    <xf numFmtId="190" fontId="1" fillId="5" borderId="9" xfId="0" applyNumberFormat="1" applyFont="1" applyFill="1" applyBorder="1" applyAlignment="1" applyProtection="1">
      <alignment horizontal="center" vertical="center"/>
      <protection locked="0"/>
    </xf>
    <xf numFmtId="0" fontId="2" fillId="10" borderId="2"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10" borderId="3" xfId="0"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9" xfId="0" applyBorder="1" applyAlignment="1" applyProtection="1">
      <alignment horizontal="center" vertical="center"/>
      <protection locked="0"/>
    </xf>
    <xf numFmtId="0" fontId="2" fillId="10" borderId="23" xfId="0" applyFont="1" applyFill="1" applyBorder="1" applyAlignment="1" applyProtection="1">
      <alignment horizontal="center" vertical="center"/>
      <protection locked="0"/>
    </xf>
    <xf numFmtId="0" fontId="2" fillId="10" borderId="25" xfId="0" applyFont="1" applyFill="1" applyBorder="1" applyAlignment="1" applyProtection="1">
      <alignment horizontal="center" vertical="center"/>
      <protection locked="0"/>
    </xf>
    <xf numFmtId="0" fontId="1" fillId="0" borderId="8" xfId="0" applyFont="1" applyBorder="1" applyProtection="1">
      <protection locked="0"/>
    </xf>
    <xf numFmtId="0" fontId="1" fillId="0" borderId="9" xfId="0" applyFont="1" applyBorder="1" applyProtection="1">
      <protection locked="0"/>
    </xf>
    <xf numFmtId="0" fontId="2" fillId="10" borderId="24" xfId="0" applyFont="1" applyFill="1" applyBorder="1" applyAlignment="1" applyProtection="1">
      <alignment horizontal="center" vertical="center"/>
      <protection locked="0"/>
    </xf>
    <xf numFmtId="0" fontId="1" fillId="0" borderId="0" xfId="0" applyFont="1" applyProtection="1">
      <protection locked="0"/>
    </xf>
    <xf numFmtId="2" fontId="1" fillId="0" borderId="0" xfId="0" applyNumberFormat="1" applyFont="1" applyProtection="1">
      <protection locked="0"/>
    </xf>
    <xf numFmtId="0" fontId="0" fillId="0" borderId="9" xfId="0" applyBorder="1" applyProtection="1">
      <protection locked="0"/>
    </xf>
    <xf numFmtId="0" fontId="0" fillId="0" borderId="8" xfId="0" applyBorder="1" applyProtection="1">
      <protection locked="0"/>
    </xf>
    <xf numFmtId="0" fontId="0" fillId="0" borderId="0" xfId="0" applyProtection="1">
      <protection locked="0"/>
    </xf>
    <xf numFmtId="0" fontId="1" fillId="6" borderId="0" xfId="0" applyFont="1" applyFill="1" applyAlignment="1" applyProtection="1">
      <alignment horizontal="center" vertical="center"/>
      <protection locked="0"/>
    </xf>
    <xf numFmtId="0" fontId="6" fillId="2" borderId="3" xfId="0" applyFont="1" applyFill="1" applyBorder="1" applyAlignment="1" applyProtection="1">
      <alignment horizontal="center" vertical="center" wrapText="1"/>
      <protection locked="0"/>
    </xf>
    <xf numFmtId="0" fontId="24" fillId="2" borderId="0" xfId="0" applyFont="1" applyFill="1" applyAlignment="1">
      <alignment wrapText="1"/>
    </xf>
    <xf numFmtId="196" fontId="1" fillId="2" borderId="56" xfId="0" applyNumberFormat="1" applyFont="1" applyFill="1" applyBorder="1" applyAlignment="1">
      <alignment horizontal="center" vertical="center"/>
    </xf>
    <xf numFmtId="0" fontId="1" fillId="2" borderId="39" xfId="0" applyFont="1" applyFill="1" applyBorder="1" applyAlignment="1">
      <alignment horizontal="center" vertical="center"/>
    </xf>
    <xf numFmtId="203" fontId="1" fillId="2" borderId="12" xfId="0" applyNumberFormat="1" applyFont="1" applyFill="1" applyBorder="1" applyAlignment="1">
      <alignment horizontal="center" vertical="center"/>
    </xf>
    <xf numFmtId="0" fontId="1" fillId="2" borderId="9" xfId="0" applyFont="1" applyFill="1" applyBorder="1" applyAlignment="1" applyProtection="1">
      <alignment horizontal="center" vertical="center"/>
      <protection locked="0"/>
    </xf>
    <xf numFmtId="1" fontId="15" fillId="5" borderId="34" xfId="0" applyNumberFormat="1" applyFont="1" applyFill="1" applyBorder="1" applyAlignment="1" applyProtection="1">
      <alignment horizontal="center" vertical="center"/>
      <protection locked="0"/>
    </xf>
    <xf numFmtId="1" fontId="15" fillId="5" borderId="57" xfId="0" applyNumberFormat="1" applyFont="1" applyFill="1" applyBorder="1" applyAlignment="1" applyProtection="1">
      <alignment horizontal="center" vertical="center"/>
      <protection locked="0"/>
    </xf>
    <xf numFmtId="184" fontId="15" fillId="5" borderId="34" xfId="0" applyNumberFormat="1" applyFont="1" applyFill="1" applyBorder="1" applyAlignment="1" applyProtection="1">
      <alignment horizontal="center" vertical="center"/>
      <protection locked="0"/>
    </xf>
    <xf numFmtId="184" fontId="15" fillId="5" borderId="57" xfId="0" applyNumberFormat="1" applyFont="1" applyFill="1" applyBorder="1" applyAlignment="1" applyProtection="1">
      <alignment horizontal="center" vertical="center"/>
      <protection locked="0"/>
    </xf>
    <xf numFmtId="0" fontId="15" fillId="2" borderId="34" xfId="0" applyFont="1" applyFill="1" applyBorder="1" applyAlignment="1">
      <alignment horizontal="center" vertical="center" wrapText="1"/>
    </xf>
    <xf numFmtId="0" fontId="15" fillId="2" borderId="50" xfId="0" applyFont="1" applyFill="1" applyBorder="1" applyAlignment="1">
      <alignment horizontal="center" vertical="center" wrapText="1"/>
    </xf>
    <xf numFmtId="204" fontId="1" fillId="2" borderId="0" xfId="0" applyNumberFormat="1" applyFont="1" applyFill="1" applyAlignment="1">
      <alignment horizontal="center" vertical="center"/>
    </xf>
    <xf numFmtId="0" fontId="2" fillId="2" borderId="0" xfId="0" applyFont="1" applyFill="1" applyAlignment="1">
      <alignment horizontal="center" vertical="center"/>
    </xf>
    <xf numFmtId="0" fontId="15" fillId="4" borderId="10" xfId="0" applyFont="1" applyFill="1" applyBorder="1"/>
    <xf numFmtId="0" fontId="7" fillId="7" borderId="6" xfId="0" applyFont="1" applyFill="1" applyBorder="1" applyAlignment="1">
      <alignment horizontal="center" vertical="center"/>
    </xf>
    <xf numFmtId="0" fontId="1" fillId="7" borderId="6" xfId="0" applyFont="1" applyFill="1" applyBorder="1" applyAlignment="1">
      <alignment horizontal="center" vertical="center"/>
    </xf>
    <xf numFmtId="0" fontId="2" fillId="2" borderId="0" xfId="0" applyFont="1" applyFill="1" applyAlignment="1">
      <alignment horizontal="center" vertical="center" wrapText="1"/>
    </xf>
    <xf numFmtId="0" fontId="1" fillId="2" borderId="0" xfId="0" applyFont="1" applyFill="1" applyAlignment="1">
      <alignment horizontal="center" vertical="center" wrapText="1"/>
    </xf>
    <xf numFmtId="187" fontId="1" fillId="2" borderId="0" xfId="0" applyNumberFormat="1" applyFont="1" applyFill="1" applyAlignment="1">
      <alignment horizontal="center" vertical="center"/>
    </xf>
    <xf numFmtId="194" fontId="1" fillId="2" borderId="11" xfId="0" applyNumberFormat="1" applyFont="1" applyFill="1" applyBorder="1" applyAlignment="1">
      <alignment horizontal="center" vertical="center"/>
    </xf>
    <xf numFmtId="0" fontId="2" fillId="6" borderId="0" xfId="0" applyFont="1" applyFill="1" applyAlignment="1">
      <alignment horizontal="center" vertical="center"/>
    </xf>
    <xf numFmtId="187" fontId="1" fillId="2" borderId="6"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30" xfId="0" applyFont="1" applyFill="1" applyBorder="1" applyAlignment="1">
      <alignment horizontal="center" vertical="center"/>
    </xf>
    <xf numFmtId="0" fontId="1" fillId="2" borderId="29" xfId="0" applyFont="1" applyFill="1" applyBorder="1" applyAlignment="1">
      <alignment horizontal="center" vertical="center"/>
    </xf>
    <xf numFmtId="169" fontId="1" fillId="2" borderId="7" xfId="0" applyNumberFormat="1" applyFont="1" applyFill="1" applyBorder="1" applyAlignment="1">
      <alignment horizontal="center" vertical="center"/>
    </xf>
    <xf numFmtId="169" fontId="1" fillId="2" borderId="12" xfId="0" applyNumberFormat="1" applyFont="1" applyFill="1" applyBorder="1" applyAlignment="1">
      <alignment horizontal="center" vertical="center"/>
    </xf>
    <xf numFmtId="189" fontId="1" fillId="0" borderId="34" xfId="0" applyNumberFormat="1" applyFont="1" applyBorder="1" applyAlignment="1">
      <alignment horizontal="center" vertical="center"/>
    </xf>
    <xf numFmtId="0" fontId="1" fillId="2" borderId="0" xfId="0" applyFont="1" applyFill="1" applyAlignment="1">
      <alignment horizontal="center" vertical="center"/>
    </xf>
    <xf numFmtId="0" fontId="1" fillId="2" borderId="9" xfId="0" applyFont="1" applyFill="1" applyBorder="1" applyAlignment="1">
      <alignment horizontal="center" vertical="center"/>
    </xf>
    <xf numFmtId="0" fontId="1" fillId="6" borderId="0" xfId="0" applyFont="1" applyFill="1" applyAlignment="1">
      <alignment horizontal="center" vertical="center"/>
    </xf>
    <xf numFmtId="0" fontId="15" fillId="2" borderId="11" xfId="0" applyFont="1" applyFill="1" applyBorder="1" applyAlignment="1">
      <alignment horizontal="center"/>
    </xf>
    <xf numFmtId="0" fontId="15" fillId="2" borderId="12" xfId="0" applyFont="1" applyFill="1" applyBorder="1" applyAlignment="1">
      <alignment horizontal="center"/>
    </xf>
    <xf numFmtId="0" fontId="1" fillId="6" borderId="8" xfId="0" applyFont="1" applyFill="1" applyBorder="1" applyAlignment="1">
      <alignment horizontal="center" vertical="center"/>
    </xf>
    <xf numFmtId="168" fontId="1" fillId="6" borderId="0" xfId="0" applyNumberFormat="1" applyFont="1" applyFill="1" applyAlignment="1">
      <alignment horizontal="center" vertical="center"/>
    </xf>
    <xf numFmtId="166" fontId="1" fillId="6" borderId="0" xfId="0" applyNumberFormat="1" applyFont="1" applyFill="1" applyAlignment="1">
      <alignment horizontal="center" vertical="center"/>
    </xf>
    <xf numFmtId="0" fontId="15" fillId="2" borderId="0" xfId="0" applyFont="1" applyFill="1" applyBorder="1" applyAlignment="1">
      <alignment horizontal="center"/>
    </xf>
    <xf numFmtId="0" fontId="15" fillId="2" borderId="9" xfId="0" applyFont="1" applyFill="1" applyBorder="1" applyAlignment="1">
      <alignment horizontal="center"/>
    </xf>
    <xf numFmtId="0" fontId="24" fillId="0" borderId="8" xfId="0" applyFont="1" applyBorder="1" applyAlignment="1">
      <alignment horizontal="center" vertical="center" wrapText="1"/>
    </xf>
    <xf numFmtId="0" fontId="24" fillId="0" borderId="0" xfId="0" applyFont="1" applyAlignment="1">
      <alignment horizontal="center" vertical="center" wrapText="1"/>
    </xf>
    <xf numFmtId="0" fontId="24" fillId="0" borderId="15" xfId="0" applyFont="1" applyBorder="1" applyAlignment="1">
      <alignment horizontal="center" vertical="center" wrapText="1"/>
    </xf>
    <xf numFmtId="0" fontId="24" fillId="0" borderId="10" xfId="0" applyFont="1" applyBorder="1" applyAlignment="1">
      <alignment horizontal="center" vertical="center" wrapText="1"/>
    </xf>
    <xf numFmtId="0" fontId="24" fillId="0" borderId="11" xfId="0" applyFont="1" applyBorder="1" applyAlignment="1">
      <alignment horizontal="center" vertical="center" wrapText="1"/>
    </xf>
    <xf numFmtId="0" fontId="24" fillId="0" borderId="30" xfId="0" applyFont="1" applyBorder="1" applyAlignment="1">
      <alignment horizontal="center" vertical="center" wrapText="1"/>
    </xf>
    <xf numFmtId="0" fontId="1" fillId="0" borderId="0" xfId="0" applyFont="1" applyAlignment="1">
      <alignment horizontal="center" vertical="center" wrapText="1"/>
    </xf>
    <xf numFmtId="0" fontId="1" fillId="0" borderId="9"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25" fillId="3" borderId="5" xfId="0" applyFont="1" applyFill="1" applyBorder="1" applyAlignment="1">
      <alignment horizontal="center" vertical="center" wrapText="1"/>
    </xf>
    <xf numFmtId="0" fontId="25" fillId="3" borderId="6" xfId="0" applyFont="1" applyFill="1" applyBorder="1" applyAlignment="1">
      <alignment horizontal="center" vertical="center" wrapText="1"/>
    </xf>
    <xf numFmtId="0" fontId="25" fillId="3" borderId="7" xfId="0" applyFont="1" applyFill="1" applyBorder="1" applyAlignment="1">
      <alignment horizontal="center" vertical="center" wrapText="1"/>
    </xf>
    <xf numFmtId="0" fontId="25" fillId="3" borderId="8" xfId="0" applyFont="1" applyFill="1" applyBorder="1" applyAlignment="1">
      <alignment horizontal="center" vertical="center" wrapText="1"/>
    </xf>
    <xf numFmtId="0" fontId="25" fillId="3" borderId="0" xfId="0" applyFont="1" applyFill="1" applyAlignment="1">
      <alignment horizontal="center" vertical="center" wrapText="1"/>
    </xf>
    <xf numFmtId="0" fontId="25" fillId="3" borderId="9" xfId="0" applyFont="1" applyFill="1" applyBorder="1" applyAlignment="1">
      <alignment horizontal="center" vertical="center" wrapText="1"/>
    </xf>
    <xf numFmtId="0" fontId="25" fillId="3" borderId="10" xfId="0" applyFont="1" applyFill="1" applyBorder="1" applyAlignment="1">
      <alignment horizontal="center" vertical="center" wrapText="1"/>
    </xf>
    <xf numFmtId="0" fontId="25" fillId="3" borderId="11" xfId="0" applyFont="1" applyFill="1" applyBorder="1" applyAlignment="1">
      <alignment horizontal="center" vertical="center" wrapText="1"/>
    </xf>
    <xf numFmtId="0" fontId="25" fillId="3" borderId="12" xfId="0" applyFont="1" applyFill="1" applyBorder="1" applyAlignment="1">
      <alignment horizontal="center" vertical="center" wrapText="1"/>
    </xf>
    <xf numFmtId="0" fontId="24" fillId="6" borderId="2" xfId="0" applyFont="1" applyFill="1" applyBorder="1" applyAlignment="1">
      <alignment horizontal="center" wrapText="1"/>
    </xf>
    <xf numFmtId="0" fontId="24" fillId="6" borderId="4" xfId="0" applyFont="1" applyFill="1" applyBorder="1" applyAlignment="1">
      <alignment horizontal="center" wrapText="1"/>
    </xf>
    <xf numFmtId="0" fontId="24" fillId="6" borderId="46" xfId="0" applyFont="1" applyFill="1" applyBorder="1" applyAlignment="1">
      <alignment horizontal="center" wrapText="1"/>
    </xf>
    <xf numFmtId="0" fontId="24" fillId="6" borderId="3" xfId="0" applyFont="1" applyFill="1" applyBorder="1" applyAlignment="1">
      <alignment horizontal="center" wrapText="1"/>
    </xf>
    <xf numFmtId="0" fontId="24" fillId="0" borderId="5"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29" xfId="0" applyFont="1" applyBorder="1" applyAlignment="1">
      <alignment horizontal="center" vertical="center" wrapText="1"/>
    </xf>
    <xf numFmtId="0" fontId="1" fillId="2" borderId="2" xfId="0" quotePrefix="1" applyFont="1" applyFill="1" applyBorder="1" applyAlignment="1" applyProtection="1">
      <alignment horizontal="center" vertical="center"/>
      <protection locked="0"/>
    </xf>
    <xf numFmtId="0" fontId="1" fillId="2" borderId="3" xfId="0" quotePrefix="1" applyFont="1" applyFill="1" applyBorder="1" applyAlignment="1" applyProtection="1">
      <alignment horizontal="center" vertical="center"/>
      <protection locked="0"/>
    </xf>
    <xf numFmtId="0" fontId="1" fillId="5" borderId="5" xfId="0" quotePrefix="1" applyFont="1" applyFill="1" applyBorder="1" applyAlignment="1" applyProtection="1">
      <alignment horizontal="center" vertical="center" wrapText="1" shrinkToFit="1"/>
      <protection locked="0"/>
    </xf>
    <xf numFmtId="0" fontId="1" fillId="5" borderId="7" xfId="0" quotePrefix="1" applyFont="1" applyFill="1" applyBorder="1" applyAlignment="1" applyProtection="1">
      <alignment horizontal="center" vertical="center" wrapText="1" shrinkToFit="1"/>
      <protection locked="0"/>
    </xf>
    <xf numFmtId="0" fontId="1" fillId="5" borderId="8" xfId="0" quotePrefix="1" applyFont="1" applyFill="1" applyBorder="1" applyAlignment="1" applyProtection="1">
      <alignment horizontal="center" vertical="center" wrapText="1" shrinkToFit="1"/>
      <protection locked="0"/>
    </xf>
    <xf numFmtId="0" fontId="1" fillId="5" borderId="9" xfId="0" quotePrefix="1" applyFont="1" applyFill="1" applyBorder="1" applyAlignment="1" applyProtection="1">
      <alignment horizontal="center" vertical="center" wrapText="1" shrinkToFit="1"/>
      <protection locked="0"/>
    </xf>
    <xf numFmtId="0" fontId="1" fillId="5" borderId="10" xfId="0" quotePrefix="1" applyFont="1" applyFill="1" applyBorder="1" applyAlignment="1" applyProtection="1">
      <alignment horizontal="center" vertical="center" wrapText="1" shrinkToFit="1"/>
      <protection locked="0"/>
    </xf>
    <xf numFmtId="0" fontId="1" fillId="5" borderId="12" xfId="0" quotePrefix="1" applyFont="1" applyFill="1" applyBorder="1" applyAlignment="1" applyProtection="1">
      <alignment horizontal="center" vertical="center" wrapText="1" shrinkToFit="1"/>
      <protection locked="0"/>
    </xf>
    <xf numFmtId="0" fontId="1" fillId="2" borderId="4" xfId="0" quotePrefix="1" applyFont="1" applyFill="1" applyBorder="1" applyAlignment="1" applyProtection="1">
      <alignment horizontal="center" vertical="center"/>
      <protection locked="0"/>
    </xf>
    <xf numFmtId="0" fontId="1" fillId="15" borderId="5" xfId="0" quotePrefix="1" applyFont="1" applyFill="1" applyBorder="1" applyAlignment="1" applyProtection="1">
      <alignment horizontal="center" vertical="center" wrapText="1" shrinkToFit="1"/>
      <protection locked="0"/>
    </xf>
    <xf numFmtId="0" fontId="1" fillId="15" borderId="6" xfId="0" quotePrefix="1" applyFont="1" applyFill="1" applyBorder="1" applyAlignment="1" applyProtection="1">
      <alignment horizontal="center" vertical="center" wrapText="1" shrinkToFit="1"/>
      <protection locked="0"/>
    </xf>
    <xf numFmtId="0" fontId="1" fillId="15" borderId="7" xfId="0" quotePrefix="1" applyFont="1" applyFill="1" applyBorder="1" applyAlignment="1" applyProtection="1">
      <alignment horizontal="center" vertical="center" wrapText="1" shrinkToFit="1"/>
      <protection locked="0"/>
    </xf>
    <xf numFmtId="0" fontId="1" fillId="15" borderId="8" xfId="0" quotePrefix="1" applyFont="1" applyFill="1" applyBorder="1" applyAlignment="1" applyProtection="1">
      <alignment horizontal="center" vertical="center" wrapText="1" shrinkToFit="1"/>
      <protection locked="0"/>
    </xf>
    <xf numFmtId="0" fontId="1" fillId="15" borderId="0" xfId="0" quotePrefix="1" applyFont="1" applyFill="1" applyAlignment="1" applyProtection="1">
      <alignment horizontal="center" vertical="center" wrapText="1" shrinkToFit="1"/>
      <protection locked="0"/>
    </xf>
    <xf numFmtId="0" fontId="1" fillId="15" borderId="9" xfId="0" quotePrefix="1" applyFont="1" applyFill="1" applyBorder="1" applyAlignment="1" applyProtection="1">
      <alignment horizontal="center" vertical="center" wrapText="1" shrinkToFit="1"/>
      <protection locked="0"/>
    </xf>
    <xf numFmtId="0" fontId="1" fillId="15" borderId="10" xfId="0" quotePrefix="1" applyFont="1" applyFill="1" applyBorder="1" applyAlignment="1" applyProtection="1">
      <alignment horizontal="center" vertical="center" wrapText="1" shrinkToFit="1"/>
      <protection locked="0"/>
    </xf>
    <xf numFmtId="0" fontId="1" fillId="15" borderId="11" xfId="0" quotePrefix="1" applyFont="1" applyFill="1" applyBorder="1" applyAlignment="1" applyProtection="1">
      <alignment horizontal="center" vertical="center" wrapText="1" shrinkToFit="1"/>
      <protection locked="0"/>
    </xf>
    <xf numFmtId="0" fontId="1" fillId="15" borderId="12" xfId="0" quotePrefix="1" applyFont="1" applyFill="1" applyBorder="1" applyAlignment="1" applyProtection="1">
      <alignment horizontal="center" vertical="center" wrapText="1" shrinkToFit="1"/>
      <protection locked="0"/>
    </xf>
    <xf numFmtId="0" fontId="1" fillId="8" borderId="17" xfId="0" applyFont="1" applyFill="1" applyBorder="1" applyAlignment="1">
      <alignment horizontal="center" vertical="center" wrapText="1"/>
    </xf>
    <xf numFmtId="0" fontId="1" fillId="8" borderId="21" xfId="0" applyFont="1" applyFill="1" applyBorder="1" applyAlignment="1">
      <alignment horizontal="center" vertical="center" wrapText="1"/>
    </xf>
    <xf numFmtId="0" fontId="1" fillId="8" borderId="18" xfId="0" applyFont="1" applyFill="1" applyBorder="1" applyAlignment="1">
      <alignment horizontal="center" vertical="center" wrapText="1"/>
    </xf>
    <xf numFmtId="0" fontId="7" fillId="2" borderId="0" xfId="0" applyFont="1" applyFill="1" applyAlignment="1">
      <alignment horizontal="center" vertical="center"/>
    </xf>
    <xf numFmtId="0" fontId="7" fillId="7" borderId="6" xfId="0" applyFont="1" applyFill="1" applyBorder="1" applyAlignment="1">
      <alignment horizontal="center" vertical="center"/>
    </xf>
    <xf numFmtId="0" fontId="1" fillId="7" borderId="6" xfId="0" applyFont="1" applyFill="1" applyBorder="1" applyAlignment="1">
      <alignment horizontal="center" vertical="center"/>
    </xf>
    <xf numFmtId="0" fontId="9" fillId="8" borderId="5" xfId="0" applyFont="1" applyFill="1" applyBorder="1" applyAlignment="1">
      <alignment horizontal="center" vertical="center" wrapText="1"/>
    </xf>
    <xf numFmtId="0" fontId="9" fillId="8" borderId="6" xfId="0" applyFont="1" applyFill="1" applyBorder="1" applyAlignment="1">
      <alignment horizontal="center" vertical="center" wrapText="1"/>
    </xf>
    <xf numFmtId="0" fontId="9" fillId="8" borderId="7" xfId="0" applyFont="1" applyFill="1" applyBorder="1" applyAlignment="1">
      <alignment horizontal="center" vertical="center" wrapText="1"/>
    </xf>
    <xf numFmtId="0" fontId="9" fillId="8" borderId="10" xfId="0" applyFont="1" applyFill="1" applyBorder="1" applyAlignment="1">
      <alignment horizontal="center" vertical="center" wrapText="1"/>
    </xf>
    <xf numFmtId="0" fontId="9" fillId="8" borderId="11" xfId="0" applyFont="1" applyFill="1" applyBorder="1" applyAlignment="1">
      <alignment horizontal="center" vertical="center" wrapText="1"/>
    </xf>
    <xf numFmtId="0" fontId="9" fillId="8" borderId="1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4" xfId="0" applyFont="1" applyFill="1" applyBorder="1" applyAlignment="1">
      <alignment horizontal="center" vertical="center" wrapText="1"/>
    </xf>
    <xf numFmtId="0" fontId="2" fillId="12" borderId="3" xfId="0" applyFont="1" applyFill="1" applyBorder="1" applyAlignment="1">
      <alignment horizontal="center" vertical="center" wrapText="1"/>
    </xf>
    <xf numFmtId="0" fontId="6" fillId="0" borderId="6"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8" fillId="2" borderId="5" xfId="0"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8" fillId="2" borderId="10" xfId="0" applyFont="1" applyFill="1" applyBorder="1" applyAlignment="1" applyProtection="1">
      <alignment horizontal="center" vertical="center" wrapText="1"/>
      <protection locked="0"/>
    </xf>
    <xf numFmtId="0" fontId="8" fillId="2" borderId="12" xfId="0" applyFont="1" applyFill="1" applyBorder="1" applyAlignment="1" applyProtection="1">
      <alignment horizontal="center" vertical="center" wrapText="1"/>
      <protection locked="0"/>
    </xf>
    <xf numFmtId="0" fontId="1" fillId="2" borderId="7"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6" fillId="2" borderId="29" xfId="0" applyFont="1" applyFill="1" applyBorder="1" applyAlignment="1">
      <alignment horizontal="center" vertical="center" wrapText="1"/>
    </xf>
    <xf numFmtId="0" fontId="6" fillId="2" borderId="15"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6" fillId="0" borderId="29" xfId="0" applyFont="1" applyBorder="1" applyAlignment="1">
      <alignment horizontal="center" vertical="center"/>
    </xf>
    <xf numFmtId="0" fontId="6" fillId="0" borderId="15" xfId="0" applyFont="1" applyBorder="1" applyAlignment="1">
      <alignment horizontal="center" vertical="center"/>
    </xf>
    <xf numFmtId="0" fontId="6" fillId="0" borderId="30" xfId="0" applyFont="1" applyBorder="1" applyAlignment="1">
      <alignment horizontal="center" vertical="center"/>
    </xf>
    <xf numFmtId="0" fontId="6" fillId="2" borderId="26" xfId="0" applyFont="1" applyFill="1" applyBorder="1" applyAlignment="1">
      <alignment horizontal="center" vertical="center" wrapText="1"/>
    </xf>
    <xf numFmtId="0" fontId="6" fillId="2" borderId="28" xfId="0" applyFont="1" applyFill="1" applyBorder="1" applyAlignment="1">
      <alignment horizontal="center" vertical="center" wrapText="1"/>
    </xf>
    <xf numFmtId="0" fontId="6" fillId="2" borderId="27" xfId="0" applyFont="1" applyFill="1" applyBorder="1" applyAlignment="1">
      <alignment horizontal="center" vertical="center" wrapText="1"/>
    </xf>
    <xf numFmtId="49" fontId="6" fillId="2" borderId="31" xfId="0" applyNumberFormat="1" applyFont="1" applyFill="1" applyBorder="1" applyAlignment="1" applyProtection="1">
      <alignment horizontal="center" vertical="center" wrapText="1" shrinkToFit="1"/>
      <protection locked="0"/>
    </xf>
    <xf numFmtId="49" fontId="6" fillId="2" borderId="33" xfId="0" applyNumberFormat="1" applyFont="1" applyFill="1" applyBorder="1" applyAlignment="1" applyProtection="1">
      <alignment horizontal="center" vertical="center" wrapText="1" shrinkToFit="1"/>
      <protection locked="0"/>
    </xf>
    <xf numFmtId="49" fontId="6" fillId="2" borderId="32" xfId="0" applyNumberFormat="1" applyFont="1" applyFill="1" applyBorder="1" applyAlignment="1" applyProtection="1">
      <alignment horizontal="center" vertical="center" wrapText="1" shrinkToFit="1"/>
      <protection locked="0"/>
    </xf>
    <xf numFmtId="180" fontId="13" fillId="11" borderId="39" xfId="0" applyNumberFormat="1" applyFont="1" applyFill="1" applyBorder="1" applyAlignment="1" applyProtection="1">
      <alignment horizontal="center" vertical="center"/>
      <protection locked="0"/>
    </xf>
    <xf numFmtId="180" fontId="13" fillId="11" borderId="40" xfId="0" applyNumberFormat="1" applyFont="1" applyFill="1" applyBorder="1" applyAlignment="1" applyProtection="1">
      <alignment horizontal="center" vertical="center"/>
      <protection locked="0"/>
    </xf>
    <xf numFmtId="180" fontId="13" fillId="11" borderId="41" xfId="0" applyNumberFormat="1" applyFont="1" applyFill="1" applyBorder="1" applyAlignment="1" applyProtection="1">
      <alignment horizontal="center" vertical="center"/>
      <protection locked="0"/>
    </xf>
    <xf numFmtId="180" fontId="13" fillId="11" borderId="34" xfId="0" applyNumberFormat="1" applyFont="1" applyFill="1" applyBorder="1" applyAlignment="1" applyProtection="1">
      <alignment horizontal="center" vertical="center"/>
      <protection locked="0"/>
    </xf>
    <xf numFmtId="180" fontId="13" fillId="11" borderId="42" xfId="0" applyNumberFormat="1" applyFont="1" applyFill="1" applyBorder="1" applyAlignment="1" applyProtection="1">
      <alignment horizontal="center" vertical="center"/>
      <protection locked="0"/>
    </xf>
    <xf numFmtId="180" fontId="13" fillId="11" borderId="43" xfId="0" applyNumberFormat="1" applyFont="1" applyFill="1" applyBorder="1" applyAlignment="1" applyProtection="1">
      <alignment horizontal="center" vertical="center"/>
      <protection locked="0"/>
    </xf>
    <xf numFmtId="180" fontId="13" fillId="11" borderId="56" xfId="0" applyNumberFormat="1" applyFont="1" applyFill="1" applyBorder="1" applyAlignment="1" applyProtection="1">
      <alignment horizontal="center" vertical="center"/>
      <protection locked="0"/>
    </xf>
    <xf numFmtId="180" fontId="13" fillId="11" borderId="57" xfId="0" applyNumberFormat="1" applyFont="1" applyFill="1" applyBorder="1" applyAlignment="1" applyProtection="1">
      <alignment horizontal="center" vertical="center"/>
      <protection locked="0"/>
    </xf>
    <xf numFmtId="180" fontId="13" fillId="11" borderId="58" xfId="0" applyNumberFormat="1" applyFont="1" applyFill="1" applyBorder="1" applyAlignment="1" applyProtection="1">
      <alignment horizontal="center" vertical="center"/>
      <protection locked="0"/>
    </xf>
    <xf numFmtId="0" fontId="2" fillId="2" borderId="0" xfId="0" applyFont="1" applyFill="1" applyAlignment="1">
      <alignment horizontal="center" vertical="center" wrapText="1"/>
    </xf>
    <xf numFmtId="0" fontId="2" fillId="9" borderId="2" xfId="0" applyFont="1" applyFill="1" applyBorder="1" applyAlignment="1">
      <alignment horizontal="center" vertical="center" wrapText="1"/>
    </xf>
    <xf numFmtId="0" fontId="2" fillId="9" borderId="3" xfId="0" applyFont="1" applyFill="1" applyBorder="1" applyAlignment="1">
      <alignment horizontal="center" vertical="center" wrapText="1"/>
    </xf>
    <xf numFmtId="0" fontId="20" fillId="2" borderId="13" xfId="0" applyFont="1" applyFill="1" applyBorder="1" applyAlignment="1">
      <alignment horizontal="center"/>
    </xf>
    <xf numFmtId="0" fontId="20" fillId="2" borderId="59" xfId="0" applyFont="1" applyFill="1" applyBorder="1" applyAlignment="1">
      <alignment horizontal="center"/>
    </xf>
    <xf numFmtId="0" fontId="20" fillId="2" borderId="14" xfId="0" applyFont="1" applyFill="1" applyBorder="1" applyAlignment="1">
      <alignment horizontal="center"/>
    </xf>
    <xf numFmtId="0" fontId="15" fillId="2" borderId="66" xfId="0" applyFont="1" applyFill="1" applyBorder="1" applyAlignment="1">
      <alignment horizontal="center"/>
    </xf>
    <xf numFmtId="0" fontId="15" fillId="2" borderId="64" xfId="0" applyFont="1" applyFill="1" applyBorder="1" applyAlignment="1">
      <alignment horizontal="center"/>
    </xf>
    <xf numFmtId="0" fontId="15" fillId="2" borderId="11" xfId="0" applyFont="1" applyFill="1" applyBorder="1" applyAlignment="1">
      <alignment horizontal="center"/>
    </xf>
    <xf numFmtId="0" fontId="15" fillId="2" borderId="12" xfId="0" applyFont="1" applyFill="1" applyBorder="1" applyAlignment="1">
      <alignment horizontal="center"/>
    </xf>
    <xf numFmtId="0" fontId="1" fillId="2" borderId="8" xfId="0" applyFont="1" applyFill="1" applyBorder="1" applyAlignment="1">
      <alignment horizontal="left" vertical="center"/>
    </xf>
    <xf numFmtId="0" fontId="1" fillId="2" borderId="0" xfId="0" applyFont="1" applyFill="1" applyAlignment="1">
      <alignment horizontal="left" vertical="center"/>
    </xf>
    <xf numFmtId="0" fontId="1" fillId="2" borderId="9" xfId="0" applyFont="1" applyFill="1" applyBorder="1" applyAlignment="1">
      <alignment horizontal="left" vertical="center"/>
    </xf>
    <xf numFmtId="0" fontId="1" fillId="5" borderId="13" xfId="0" applyFont="1" applyFill="1" applyBorder="1" applyAlignment="1">
      <alignment horizontal="center" vertical="center"/>
    </xf>
    <xf numFmtId="0" fontId="1" fillId="5" borderId="14" xfId="0" applyFont="1" applyFill="1" applyBorder="1" applyAlignment="1">
      <alignment horizontal="center" vertical="center"/>
    </xf>
    <xf numFmtId="181" fontId="1" fillId="2" borderId="10" xfId="0" applyNumberFormat="1" applyFont="1" applyFill="1" applyBorder="1" applyAlignment="1" applyProtection="1">
      <alignment horizontal="center" vertical="center"/>
      <protection locked="0"/>
    </xf>
    <xf numFmtId="181" fontId="1" fillId="2" borderId="12" xfId="0" applyNumberFormat="1" applyFont="1" applyFill="1" applyBorder="1" applyAlignment="1" applyProtection="1">
      <alignment horizontal="center" vertical="center"/>
      <protection locked="0"/>
    </xf>
    <xf numFmtId="0" fontId="1" fillId="2" borderId="5" xfId="0" applyFont="1" applyFill="1" applyBorder="1" applyAlignment="1">
      <alignment horizontal="left" vertical="center"/>
    </xf>
    <xf numFmtId="0" fontId="1" fillId="2" borderId="6" xfId="0" applyFont="1" applyFill="1" applyBorder="1" applyAlignment="1">
      <alignment horizontal="left" vertical="center"/>
    </xf>
    <xf numFmtId="0" fontId="1" fillId="2" borderId="7" xfId="0" applyFont="1" applyFill="1" applyBorder="1" applyAlignment="1">
      <alignment horizontal="left"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179" fontId="1" fillId="2" borderId="20" xfId="0" applyNumberFormat="1" applyFont="1" applyFill="1" applyBorder="1" applyAlignment="1">
      <alignment horizontal="center" vertical="center"/>
    </xf>
    <xf numFmtId="179" fontId="1" fillId="2" borderId="19" xfId="0" applyNumberFormat="1" applyFont="1" applyFill="1" applyBorder="1" applyAlignment="1">
      <alignment horizontal="center" vertical="center"/>
    </xf>
    <xf numFmtId="0" fontId="1" fillId="5" borderId="5"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2" xfId="0" applyFont="1" applyFill="1" applyBorder="1" applyAlignment="1">
      <alignment horizontal="center" vertical="center"/>
    </xf>
    <xf numFmtId="0" fontId="1" fillId="2" borderId="17" xfId="0" applyFont="1" applyFill="1" applyBorder="1" applyAlignment="1" applyProtection="1">
      <alignment horizontal="center" vertical="center"/>
      <protection locked="0"/>
    </xf>
    <xf numFmtId="0" fontId="1" fillId="2" borderId="18" xfId="0" applyFont="1" applyFill="1" applyBorder="1" applyAlignment="1" applyProtection="1">
      <alignment horizontal="center" vertical="center"/>
      <protection locked="0"/>
    </xf>
    <xf numFmtId="165" fontId="1" fillId="2" borderId="10" xfId="0" applyNumberFormat="1" applyFont="1" applyFill="1" applyBorder="1" applyAlignment="1">
      <alignment horizontal="center" vertical="center"/>
    </xf>
    <xf numFmtId="165" fontId="1" fillId="2" borderId="12" xfId="0" applyNumberFormat="1" applyFont="1" applyFill="1" applyBorder="1" applyAlignment="1">
      <alignment horizontal="center" vertical="center"/>
    </xf>
    <xf numFmtId="0" fontId="1" fillId="10" borderId="13" xfId="0" applyFont="1" applyFill="1" applyBorder="1" applyAlignment="1">
      <alignment horizontal="center" vertical="center"/>
    </xf>
    <xf numFmtId="0" fontId="1" fillId="10" borderId="14" xfId="0" applyFont="1" applyFill="1" applyBorder="1" applyAlignment="1">
      <alignment horizontal="center" vertical="center"/>
    </xf>
    <xf numFmtId="169" fontId="1" fillId="2" borderId="10" xfId="0" applyNumberFormat="1" applyFont="1" applyFill="1" applyBorder="1" applyAlignment="1">
      <alignment horizontal="center" vertical="center"/>
    </xf>
    <xf numFmtId="169" fontId="1" fillId="2" borderId="12" xfId="0" applyNumberFormat="1" applyFont="1" applyFill="1" applyBorder="1" applyAlignment="1">
      <alignment horizontal="center" vertical="center"/>
    </xf>
    <xf numFmtId="0" fontId="1" fillId="10" borderId="13" xfId="0" applyFont="1" applyFill="1" applyBorder="1" applyAlignment="1">
      <alignment horizontal="center" vertical="center" wrapText="1"/>
    </xf>
    <xf numFmtId="0" fontId="1" fillId="10" borderId="14" xfId="0" applyFont="1" applyFill="1" applyBorder="1" applyAlignment="1">
      <alignment horizontal="center" vertical="center" wrapText="1"/>
    </xf>
    <xf numFmtId="0" fontId="2" fillId="3" borderId="23" xfId="0" applyFont="1" applyFill="1" applyBorder="1" applyAlignment="1">
      <alignment horizontal="center" vertical="center"/>
    </xf>
    <xf numFmtId="0" fontId="2" fillId="3" borderId="24"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46" xfId="0" applyFont="1" applyFill="1" applyBorder="1" applyAlignment="1">
      <alignment horizontal="center" vertical="center"/>
    </xf>
    <xf numFmtId="175" fontId="4" fillId="2" borderId="6" xfId="0" applyNumberFormat="1" applyFont="1" applyFill="1" applyBorder="1" applyAlignment="1">
      <alignment horizontal="center" vertical="center"/>
    </xf>
    <xf numFmtId="175" fontId="4" fillId="2" borderId="7" xfId="0" applyNumberFormat="1" applyFont="1" applyFill="1" applyBorder="1" applyAlignment="1">
      <alignment horizontal="center" vertical="center"/>
    </xf>
    <xf numFmtId="175" fontId="4" fillId="2" borderId="0" xfId="0" applyNumberFormat="1" applyFont="1" applyFill="1" applyBorder="1" applyAlignment="1">
      <alignment horizontal="center" vertical="center"/>
    </xf>
    <xf numFmtId="175" fontId="4" fillId="2" borderId="9" xfId="0" applyNumberFormat="1" applyFont="1" applyFill="1" applyBorder="1" applyAlignment="1">
      <alignment horizontal="center" vertical="center"/>
    </xf>
    <xf numFmtId="0" fontId="1" fillId="2" borderId="17" xfId="0" applyFont="1" applyFill="1" applyBorder="1" applyAlignment="1">
      <alignment horizontal="center" vertical="center" wrapText="1"/>
    </xf>
    <xf numFmtId="0" fontId="1" fillId="2" borderId="21" xfId="0" applyFont="1" applyFill="1" applyBorder="1" applyAlignment="1">
      <alignment horizontal="center" vertical="center" wrapText="1"/>
    </xf>
    <xf numFmtId="0" fontId="1" fillId="2" borderId="18" xfId="0" applyFont="1" applyFill="1" applyBorder="1" applyAlignment="1">
      <alignment horizontal="center" vertical="center" wrapText="1"/>
    </xf>
    <xf numFmtId="175" fontId="1" fillId="2" borderId="17" xfId="0" applyNumberFormat="1" applyFont="1" applyFill="1" applyBorder="1" applyAlignment="1">
      <alignment horizontal="center" vertical="center" wrapText="1"/>
    </xf>
    <xf numFmtId="175" fontId="1" fillId="2" borderId="21" xfId="0" applyNumberFormat="1" applyFont="1" applyFill="1" applyBorder="1" applyAlignment="1">
      <alignment horizontal="center" vertical="center" wrapText="1"/>
    </xf>
    <xf numFmtId="175" fontId="1" fillId="2" borderId="18" xfId="0" applyNumberFormat="1" applyFont="1" applyFill="1" applyBorder="1" applyAlignment="1">
      <alignment horizontal="center" vertical="center" wrapText="1"/>
    </xf>
    <xf numFmtId="175" fontId="4" fillId="2" borderId="11" xfId="0" applyNumberFormat="1" applyFont="1" applyFill="1" applyBorder="1" applyAlignment="1">
      <alignment horizontal="center" vertical="center"/>
    </xf>
    <xf numFmtId="175" fontId="4" fillId="2" borderId="12" xfId="0" applyNumberFormat="1" applyFont="1" applyFill="1" applyBorder="1" applyAlignment="1">
      <alignment horizontal="center" vertical="center"/>
    </xf>
    <xf numFmtId="182" fontId="1" fillId="2" borderId="10" xfId="0" applyNumberFormat="1" applyFont="1" applyFill="1" applyBorder="1" applyAlignment="1">
      <alignment horizontal="center" vertical="center"/>
    </xf>
    <xf numFmtId="182" fontId="1" fillId="2" borderId="12" xfId="0" applyNumberFormat="1" applyFont="1" applyFill="1" applyBorder="1" applyAlignment="1">
      <alignment horizontal="center" vertical="center"/>
    </xf>
    <xf numFmtId="178" fontId="1" fillId="2" borderId="10" xfId="0" applyNumberFormat="1" applyFont="1" applyFill="1" applyBorder="1" applyAlignment="1" applyProtection="1">
      <alignment horizontal="center" vertical="center"/>
      <protection locked="0"/>
    </xf>
    <xf numFmtId="178" fontId="1" fillId="2" borderId="12" xfId="0" applyNumberFormat="1" applyFont="1" applyFill="1" applyBorder="1" applyAlignment="1" applyProtection="1">
      <alignment horizontal="center" vertical="center"/>
      <protection locked="0"/>
    </xf>
    <xf numFmtId="176" fontId="1" fillId="2" borderId="10" xfId="0" applyNumberFormat="1" applyFont="1" applyFill="1" applyBorder="1" applyAlignment="1" applyProtection="1">
      <alignment horizontal="center" vertical="center"/>
      <protection locked="0"/>
    </xf>
    <xf numFmtId="176" fontId="1" fillId="2" borderId="12" xfId="0" applyNumberFormat="1" applyFont="1" applyFill="1" applyBorder="1" applyAlignment="1" applyProtection="1">
      <alignment horizontal="center" vertical="center"/>
      <protection locked="0"/>
    </xf>
    <xf numFmtId="205" fontId="1" fillId="2" borderId="10" xfId="0" applyNumberFormat="1" applyFont="1" applyFill="1" applyBorder="1" applyAlignment="1" applyProtection="1">
      <alignment horizontal="center" vertical="center"/>
      <protection locked="0"/>
    </xf>
    <xf numFmtId="205" fontId="1" fillId="2" borderId="12" xfId="0" applyNumberFormat="1" applyFont="1" applyFill="1" applyBorder="1" applyAlignment="1" applyProtection="1">
      <alignment horizontal="center" vertical="center"/>
      <protection locked="0"/>
    </xf>
    <xf numFmtId="167" fontId="1" fillId="2" borderId="10" xfId="0" applyNumberFormat="1" applyFont="1" applyFill="1" applyBorder="1" applyAlignment="1" applyProtection="1">
      <alignment horizontal="center" vertical="center"/>
      <protection locked="0"/>
    </xf>
    <xf numFmtId="167" fontId="1" fillId="2" borderId="12" xfId="0" applyNumberFormat="1" applyFont="1" applyFill="1" applyBorder="1" applyAlignment="1" applyProtection="1">
      <alignment horizontal="center" vertical="center"/>
      <protection locked="0"/>
    </xf>
    <xf numFmtId="0" fontId="7" fillId="2" borderId="2"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3" xfId="0" applyFont="1" applyFill="1" applyBorder="1" applyAlignment="1">
      <alignment horizontal="center" vertical="center"/>
    </xf>
    <xf numFmtId="179" fontId="1" fillId="2" borderId="10" xfId="0" applyNumberFormat="1" applyFont="1" applyFill="1" applyBorder="1" applyAlignment="1">
      <alignment horizontal="center" vertical="center"/>
    </xf>
    <xf numFmtId="179" fontId="1" fillId="2" borderId="12" xfId="0" applyNumberFormat="1" applyFont="1" applyFill="1" applyBorder="1" applyAlignment="1">
      <alignment horizontal="center" vertical="center"/>
    </xf>
    <xf numFmtId="177" fontId="1" fillId="2" borderId="10" xfId="0" applyNumberFormat="1" applyFont="1" applyFill="1" applyBorder="1" applyAlignment="1" applyProtection="1">
      <alignment horizontal="center" vertical="center"/>
      <protection locked="0"/>
    </xf>
    <xf numFmtId="177" fontId="1" fillId="2" borderId="12" xfId="0" applyNumberFormat="1" applyFont="1" applyFill="1" applyBorder="1" applyAlignment="1" applyProtection="1">
      <alignment horizontal="center" vertical="center"/>
      <protection locked="0"/>
    </xf>
    <xf numFmtId="168" fontId="1" fillId="2" borderId="10" xfId="0" applyNumberFormat="1" applyFont="1" applyFill="1" applyBorder="1" applyAlignment="1" applyProtection="1">
      <alignment horizontal="center" vertical="center"/>
      <protection locked="0"/>
    </xf>
    <xf numFmtId="168" fontId="1" fillId="2" borderId="12" xfId="0" applyNumberFormat="1" applyFont="1" applyFill="1" applyBorder="1" applyAlignment="1" applyProtection="1">
      <alignment horizontal="center" vertical="center"/>
      <protection locked="0"/>
    </xf>
    <xf numFmtId="0" fontId="5" fillId="4" borderId="10" xfId="0" applyFont="1" applyFill="1" applyBorder="1" applyAlignment="1">
      <alignment horizontal="center" vertical="center"/>
    </xf>
    <xf numFmtId="0" fontId="5" fillId="4" borderId="11" xfId="0" applyFont="1" applyFill="1" applyBorder="1" applyAlignment="1">
      <alignment horizontal="center" vertical="center"/>
    </xf>
    <xf numFmtId="0" fontId="5" fillId="4" borderId="12" xfId="0" applyFont="1" applyFill="1" applyBorder="1" applyAlignment="1">
      <alignment horizontal="center" vertical="center"/>
    </xf>
    <xf numFmtId="166" fontId="1" fillId="2" borderId="10" xfId="0" applyNumberFormat="1" applyFont="1" applyFill="1" applyBorder="1" applyAlignment="1" applyProtection="1">
      <alignment horizontal="center" vertical="center"/>
      <protection locked="0"/>
    </xf>
    <xf numFmtId="166" fontId="1" fillId="2" borderId="12" xfId="0" applyNumberFormat="1" applyFont="1" applyFill="1" applyBorder="1" applyAlignment="1" applyProtection="1">
      <alignment horizontal="center" vertical="center"/>
      <protection locked="0"/>
    </xf>
    <xf numFmtId="174" fontId="1" fillId="2" borderId="10" xfId="0" applyNumberFormat="1" applyFont="1" applyFill="1" applyBorder="1" applyAlignment="1" applyProtection="1">
      <alignment horizontal="center" vertical="center"/>
      <protection locked="0"/>
    </xf>
    <xf numFmtId="174" fontId="1" fillId="2" borderId="12" xfId="0" applyNumberFormat="1" applyFont="1" applyFill="1" applyBorder="1" applyAlignment="1" applyProtection="1">
      <alignment horizontal="center" vertical="center"/>
      <protection locked="0"/>
    </xf>
    <xf numFmtId="0" fontId="1" fillId="5" borderId="13" xfId="0" applyFont="1" applyFill="1" applyBorder="1" applyAlignment="1">
      <alignment horizontal="center" vertical="center" wrapText="1"/>
    </xf>
    <xf numFmtId="0" fontId="1" fillId="5" borderId="14" xfId="0" applyFont="1" applyFill="1" applyBorder="1" applyAlignment="1">
      <alignment horizontal="center" vertical="center" wrapText="1"/>
    </xf>
    <xf numFmtId="170" fontId="1" fillId="2" borderId="20" xfId="0" applyNumberFormat="1" applyFont="1" applyFill="1" applyBorder="1" applyAlignment="1" applyProtection="1">
      <alignment horizontal="center" vertical="center"/>
      <protection locked="0"/>
    </xf>
    <xf numFmtId="170" fontId="1" fillId="2" borderId="19" xfId="0" applyNumberFormat="1" applyFont="1" applyFill="1" applyBorder="1" applyAlignment="1" applyProtection="1">
      <alignment horizontal="center" vertical="center"/>
      <protection locked="0"/>
    </xf>
    <xf numFmtId="164" fontId="1" fillId="2" borderId="10" xfId="0" applyNumberFormat="1" applyFont="1" applyFill="1" applyBorder="1" applyAlignment="1" applyProtection="1">
      <alignment horizontal="center" vertical="center"/>
      <protection locked="0"/>
    </xf>
    <xf numFmtId="164" fontId="1" fillId="2" borderId="12" xfId="0" applyNumberFormat="1" applyFont="1" applyFill="1" applyBorder="1" applyAlignment="1" applyProtection="1">
      <alignment horizontal="center" vertical="center"/>
      <protection locked="0"/>
    </xf>
    <xf numFmtId="0" fontId="1" fillId="6" borderId="8" xfId="0" applyFont="1" applyFill="1" applyBorder="1" applyAlignment="1">
      <alignment horizontal="center" vertical="center"/>
    </xf>
    <xf numFmtId="0" fontId="1" fillId="6" borderId="0" xfId="0" applyFont="1" applyFill="1" applyAlignment="1">
      <alignment horizontal="center" vertical="center"/>
    </xf>
    <xf numFmtId="168" fontId="1" fillId="6" borderId="8" xfId="0" applyNumberFormat="1" applyFont="1" applyFill="1" applyBorder="1" applyAlignment="1">
      <alignment horizontal="center" vertical="center"/>
    </xf>
    <xf numFmtId="168" fontId="1" fillId="6" borderId="0" xfId="0" applyNumberFormat="1" applyFont="1" applyFill="1" applyAlignment="1">
      <alignment horizontal="center" vertical="center"/>
    </xf>
    <xf numFmtId="166" fontId="1" fillId="6" borderId="8" xfId="0" applyNumberFormat="1" applyFont="1" applyFill="1" applyBorder="1" applyAlignment="1">
      <alignment horizontal="center" vertical="center"/>
    </xf>
    <xf numFmtId="166" fontId="1" fillId="6" borderId="0" xfId="0" applyNumberFormat="1" applyFont="1" applyFill="1" applyAlignment="1">
      <alignment horizontal="center" vertical="center"/>
    </xf>
    <xf numFmtId="171" fontId="1" fillId="2" borderId="20" xfId="0" applyNumberFormat="1" applyFont="1" applyFill="1" applyBorder="1" applyAlignment="1" applyProtection="1">
      <alignment horizontal="center" vertical="center"/>
      <protection locked="0"/>
    </xf>
    <xf numFmtId="171" fontId="1" fillId="2" borderId="19" xfId="0" applyNumberFormat="1" applyFont="1" applyFill="1" applyBorder="1" applyAlignment="1" applyProtection="1">
      <alignment horizontal="center" vertical="center"/>
      <protection locked="0"/>
    </xf>
    <xf numFmtId="0" fontId="1" fillId="2" borderId="8"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9" xfId="0" applyFont="1" applyFill="1" applyBorder="1" applyAlignment="1">
      <alignment horizontal="left" vertical="center" wrapText="1"/>
    </xf>
    <xf numFmtId="0" fontId="1" fillId="2" borderId="10"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1" fillId="2" borderId="5"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0" xfId="0" applyFont="1" applyFill="1" applyAlignment="1">
      <alignment horizontal="left" vertical="top" wrapText="1"/>
    </xf>
    <xf numFmtId="0" fontId="1" fillId="2" borderId="9" xfId="0" applyFont="1" applyFill="1" applyBorder="1" applyAlignment="1">
      <alignment horizontal="left" vertical="top" wrapText="1"/>
    </xf>
    <xf numFmtId="173" fontId="1" fillId="2" borderId="10" xfId="0" applyNumberFormat="1" applyFont="1" applyFill="1" applyBorder="1" applyAlignment="1" applyProtection="1">
      <alignment horizontal="center" vertical="center"/>
      <protection locked="0"/>
    </xf>
    <xf numFmtId="173" fontId="1" fillId="2" borderId="12" xfId="0" applyNumberFormat="1" applyFont="1" applyFill="1" applyBorder="1" applyAlignment="1" applyProtection="1">
      <alignment horizontal="center" vertical="center"/>
      <protection locked="0"/>
    </xf>
    <xf numFmtId="172" fontId="1" fillId="2" borderId="17" xfId="0" applyNumberFormat="1" applyFont="1" applyFill="1" applyBorder="1" applyAlignment="1">
      <alignment horizontal="center" vertical="center"/>
    </xf>
    <xf numFmtId="172" fontId="1" fillId="2" borderId="21" xfId="0" applyNumberFormat="1" applyFont="1" applyFill="1" applyBorder="1" applyAlignment="1">
      <alignment horizontal="center" vertical="center"/>
    </xf>
    <xf numFmtId="172" fontId="1" fillId="2" borderId="18"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20" fillId="3" borderId="2" xfId="0" applyFont="1" applyFill="1" applyBorder="1" applyAlignment="1">
      <alignment horizontal="center"/>
    </xf>
    <xf numFmtId="0" fontId="20" fillId="3" borderId="4" xfId="0" applyFont="1" applyFill="1" applyBorder="1" applyAlignment="1">
      <alignment horizontal="center"/>
    </xf>
    <xf numFmtId="0" fontId="20" fillId="3" borderId="3" xfId="0" applyFont="1" applyFill="1" applyBorder="1" applyAlignment="1">
      <alignment horizontal="center"/>
    </xf>
    <xf numFmtId="0" fontId="20" fillId="2" borderId="26" xfId="0" applyFont="1" applyFill="1" applyBorder="1" applyAlignment="1">
      <alignment horizontal="center" vertical="center"/>
    </xf>
    <xf numFmtId="0" fontId="20" fillId="2" borderId="28" xfId="0" applyFont="1" applyFill="1" applyBorder="1" applyAlignment="1">
      <alignment horizontal="center" vertical="center"/>
    </xf>
    <xf numFmtId="0" fontId="20" fillId="2" borderId="27" xfId="0" applyFont="1" applyFill="1" applyBorder="1" applyAlignment="1">
      <alignment horizontal="center" vertical="center"/>
    </xf>
    <xf numFmtId="0" fontId="20" fillId="4" borderId="66" xfId="0" applyFont="1" applyFill="1" applyBorder="1" applyAlignment="1">
      <alignment horizontal="center" vertical="center"/>
    </xf>
    <xf numFmtId="0" fontId="20" fillId="4" borderId="64" xfId="0" applyFont="1" applyFill="1" applyBorder="1" applyAlignment="1">
      <alignment horizontal="center" vertical="center"/>
    </xf>
    <xf numFmtId="0" fontId="20" fillId="4" borderId="11" xfId="0" applyFont="1" applyFill="1" applyBorder="1" applyAlignment="1">
      <alignment horizontal="center" vertical="center"/>
    </xf>
    <xf numFmtId="0" fontId="20" fillId="4" borderId="12" xfId="0" applyFont="1" applyFill="1" applyBorder="1" applyAlignment="1">
      <alignment horizontal="center" vertical="center"/>
    </xf>
    <xf numFmtId="0" fontId="15" fillId="2" borderId="53" xfId="0" applyFont="1" applyFill="1" applyBorder="1" applyAlignment="1">
      <alignment horizontal="center" vertical="center"/>
    </xf>
    <xf numFmtId="0" fontId="15" fillId="2" borderId="0" xfId="0" applyFont="1" applyFill="1" applyAlignment="1">
      <alignment horizontal="center" vertical="center"/>
    </xf>
    <xf numFmtId="0" fontId="15" fillId="2" borderId="15" xfId="0" applyFont="1" applyFill="1" applyBorder="1" applyAlignment="1">
      <alignment horizontal="center" vertical="center"/>
    </xf>
    <xf numFmtId="0" fontId="15" fillId="2" borderId="55" xfId="0" applyFont="1" applyFill="1" applyBorder="1" applyAlignment="1">
      <alignment horizontal="center" vertical="center"/>
    </xf>
    <xf numFmtId="0" fontId="15" fillId="2" borderId="11"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54" xfId="0" applyFont="1" applyFill="1" applyBorder="1" applyAlignment="1" applyProtection="1">
      <alignment horizontal="center" vertical="center"/>
      <protection locked="0"/>
    </xf>
    <xf numFmtId="0" fontId="15" fillId="2" borderId="29" xfId="0" applyFont="1" applyFill="1" applyBorder="1" applyAlignment="1" applyProtection="1">
      <alignment horizontal="center" vertical="center"/>
      <protection locked="0"/>
    </xf>
    <xf numFmtId="0" fontId="15" fillId="2" borderId="65" xfId="0" applyFont="1" applyFill="1" applyBorder="1" applyAlignment="1" applyProtection="1">
      <alignment horizontal="center" vertical="center"/>
      <protection locked="0"/>
    </xf>
    <xf numFmtId="0" fontId="15" fillId="2" borderId="51" xfId="0" applyFont="1" applyFill="1" applyBorder="1" applyAlignment="1" applyProtection="1">
      <alignment horizontal="center" vertical="center"/>
      <protection locked="0"/>
    </xf>
    <xf numFmtId="0" fontId="15" fillId="2" borderId="36" xfId="0" applyFont="1" applyFill="1" applyBorder="1" applyAlignment="1">
      <alignment horizontal="center" vertical="center"/>
    </xf>
    <xf numFmtId="0" fontId="15" fillId="2" borderId="37" xfId="0" applyFont="1" applyFill="1" applyBorder="1" applyAlignment="1">
      <alignment horizontal="center" vertical="center"/>
    </xf>
    <xf numFmtId="0" fontId="15" fillId="2" borderId="48" xfId="0" applyFont="1" applyFill="1" applyBorder="1" applyAlignment="1">
      <alignment horizontal="center" vertical="center"/>
    </xf>
    <xf numFmtId="0" fontId="15" fillId="2" borderId="7" xfId="0" applyFont="1" applyFill="1" applyBorder="1" applyAlignment="1" applyProtection="1">
      <alignment horizontal="center" vertical="center"/>
      <protection locked="0"/>
    </xf>
    <xf numFmtId="0" fontId="15" fillId="2" borderId="62" xfId="0" applyFont="1" applyFill="1" applyBorder="1" applyAlignment="1" applyProtection="1">
      <alignment horizontal="center" vertical="center"/>
      <protection locked="0"/>
    </xf>
    <xf numFmtId="1" fontId="15" fillId="5" borderId="0" xfId="0" applyNumberFormat="1" applyFont="1" applyFill="1" applyAlignment="1" applyProtection="1">
      <alignment horizontal="center" vertical="center"/>
      <protection locked="0"/>
    </xf>
    <xf numFmtId="1" fontId="15" fillId="5" borderId="15" xfId="0" applyNumberFormat="1" applyFont="1" applyFill="1" applyBorder="1" applyAlignment="1" applyProtection="1">
      <alignment horizontal="center" vertical="center"/>
      <protection locked="0"/>
    </xf>
    <xf numFmtId="1" fontId="15" fillId="5" borderId="11" xfId="0" applyNumberFormat="1" applyFont="1" applyFill="1" applyBorder="1" applyAlignment="1" applyProtection="1">
      <alignment horizontal="center" vertical="center"/>
      <protection locked="0"/>
    </xf>
    <xf numFmtId="1" fontId="15" fillId="5" borderId="30" xfId="0" applyNumberFormat="1" applyFont="1" applyFill="1" applyBorder="1" applyAlignment="1" applyProtection="1">
      <alignment horizontal="center" vertical="center"/>
      <protection locked="0"/>
    </xf>
    <xf numFmtId="1" fontId="15" fillId="4" borderId="53" xfId="0" applyNumberFormat="1" applyFont="1" applyFill="1" applyBorder="1" applyAlignment="1">
      <alignment horizontal="center" vertical="center"/>
    </xf>
    <xf numFmtId="1" fontId="15" fillId="4" borderId="9" xfId="0" applyNumberFormat="1" applyFont="1" applyFill="1" applyBorder="1" applyAlignment="1">
      <alignment horizontal="center" vertical="center"/>
    </xf>
    <xf numFmtId="1" fontId="15" fillId="4" borderId="55" xfId="0" applyNumberFormat="1" applyFont="1" applyFill="1" applyBorder="1" applyAlignment="1">
      <alignment horizontal="center" vertical="center"/>
    </xf>
    <xf numFmtId="1" fontId="15" fillId="4" borderId="12" xfId="0" applyNumberFormat="1" applyFont="1" applyFill="1" applyBorder="1" applyAlignment="1">
      <alignment horizontal="center" vertical="center"/>
    </xf>
    <xf numFmtId="0" fontId="15" fillId="2" borderId="38" xfId="0" applyFont="1" applyFill="1" applyBorder="1" applyAlignment="1">
      <alignment horizontal="center" vertical="center"/>
    </xf>
    <xf numFmtId="0" fontId="20" fillId="10" borderId="59" xfId="0" applyFont="1" applyFill="1" applyBorder="1" applyAlignment="1">
      <alignment horizontal="center" vertical="center"/>
    </xf>
    <xf numFmtId="0" fontId="20" fillId="10" borderId="67" xfId="0" applyFont="1" applyFill="1" applyBorder="1" applyAlignment="1">
      <alignment horizontal="center" vertical="center"/>
    </xf>
    <xf numFmtId="0" fontId="20" fillId="10" borderId="6" xfId="0" applyFont="1" applyFill="1" applyBorder="1" applyAlignment="1">
      <alignment horizontal="center" vertical="center"/>
    </xf>
    <xf numFmtId="0" fontId="20" fillId="10" borderId="7" xfId="0" applyFont="1" applyFill="1" applyBorder="1" applyAlignment="1">
      <alignment horizontal="center" vertical="center"/>
    </xf>
    <xf numFmtId="0" fontId="20" fillId="2" borderId="26" xfId="0" applyFont="1" applyFill="1" applyBorder="1" applyAlignment="1">
      <alignment horizontal="center" vertical="center" wrapText="1"/>
    </xf>
    <xf numFmtId="0" fontId="20" fillId="2" borderId="28" xfId="0" applyFont="1" applyFill="1" applyBorder="1" applyAlignment="1">
      <alignment horizontal="center" vertical="center" wrapText="1"/>
    </xf>
    <xf numFmtId="0" fontId="20" fillId="2" borderId="27" xfId="0" applyFont="1" applyFill="1" applyBorder="1" applyAlignment="1">
      <alignment horizontal="center" vertical="center" wrapText="1"/>
    </xf>
    <xf numFmtId="202" fontId="15" fillId="5" borderId="0" xfId="0" applyNumberFormat="1" applyFont="1" applyFill="1" applyAlignment="1" applyProtection="1">
      <alignment horizontal="center" vertical="center"/>
      <protection locked="0"/>
    </xf>
    <xf numFmtId="202" fontId="15" fillId="5" borderId="15" xfId="0" applyNumberFormat="1" applyFont="1" applyFill="1" applyBorder="1" applyAlignment="1" applyProtection="1">
      <alignment horizontal="center" vertical="center"/>
      <protection locked="0"/>
    </xf>
    <xf numFmtId="202" fontId="15" fillId="5" borderId="11" xfId="0" applyNumberFormat="1" applyFont="1" applyFill="1" applyBorder="1" applyAlignment="1" applyProtection="1">
      <alignment horizontal="center" vertical="center"/>
      <protection locked="0"/>
    </xf>
    <xf numFmtId="202" fontId="15" fillId="5" borderId="30" xfId="0" applyNumberFormat="1" applyFont="1" applyFill="1" applyBorder="1" applyAlignment="1" applyProtection="1">
      <alignment horizontal="center" vertical="center"/>
      <protection locked="0"/>
    </xf>
    <xf numFmtId="202" fontId="15" fillId="4" borderId="53" xfId="0" applyNumberFormat="1" applyFont="1" applyFill="1" applyBorder="1" applyAlignment="1">
      <alignment horizontal="center" vertical="center"/>
    </xf>
    <xf numFmtId="202" fontId="15" fillId="4" borderId="9" xfId="0" applyNumberFormat="1" applyFont="1" applyFill="1" applyBorder="1" applyAlignment="1">
      <alignment horizontal="center" vertical="center"/>
    </xf>
    <xf numFmtId="202" fontId="15" fillId="4" borderId="55" xfId="0" applyNumberFormat="1" applyFont="1" applyFill="1" applyBorder="1" applyAlignment="1">
      <alignment horizontal="center" vertical="center"/>
    </xf>
    <xf numFmtId="202" fontId="15" fillId="4" borderId="12" xfId="0" applyNumberFormat="1" applyFont="1" applyFill="1" applyBorder="1" applyAlignment="1">
      <alignment horizontal="center" vertical="center"/>
    </xf>
    <xf numFmtId="0" fontId="15" fillId="6" borderId="2" xfId="0" applyFont="1" applyFill="1" applyBorder="1" applyAlignment="1">
      <alignment horizontal="center"/>
    </xf>
    <xf numFmtId="0" fontId="15" fillId="6" borderId="4" xfId="0" applyFont="1" applyFill="1" applyBorder="1" applyAlignment="1">
      <alignment horizontal="center"/>
    </xf>
    <xf numFmtId="0" fontId="15" fillId="6" borderId="3" xfId="0" applyFont="1" applyFill="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7" xfId="0" applyFont="1" applyFill="1" applyBorder="1" applyAlignment="1">
      <alignment horizontal="center"/>
    </xf>
    <xf numFmtId="0" fontId="18" fillId="3" borderId="10" xfId="0" applyFont="1" applyFill="1" applyBorder="1" applyAlignment="1">
      <alignment horizontal="center"/>
    </xf>
    <xf numFmtId="0" fontId="18" fillId="3" borderId="11" xfId="0" applyFont="1" applyFill="1" applyBorder="1" applyAlignment="1">
      <alignment horizontal="center"/>
    </xf>
    <xf numFmtId="0" fontId="18" fillId="3" borderId="12" xfId="0" applyFont="1" applyFill="1" applyBorder="1" applyAlignment="1">
      <alignment horizontal="center"/>
    </xf>
    <xf numFmtId="183" fontId="15" fillId="0" borderId="63" xfId="0" applyNumberFormat="1" applyFont="1" applyBorder="1" applyAlignment="1">
      <alignment horizontal="center" vertical="center"/>
    </xf>
    <xf numFmtId="183" fontId="15" fillId="0" borderId="64" xfId="0" applyNumberFormat="1" applyFont="1" applyBorder="1" applyAlignment="1">
      <alignment horizontal="center" vertical="center"/>
    </xf>
    <xf numFmtId="183" fontId="15" fillId="0" borderId="22" xfId="0" applyNumberFormat="1" applyFont="1" applyBorder="1" applyAlignment="1">
      <alignment horizontal="center" vertical="center"/>
    </xf>
    <xf numFmtId="183" fontId="15" fillId="0" borderId="62" xfId="0" applyNumberFormat="1" applyFont="1" applyBorder="1" applyAlignment="1">
      <alignment horizontal="center" vertical="center"/>
    </xf>
    <xf numFmtId="0" fontId="15" fillId="0" borderId="8"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10" xfId="0" applyFont="1" applyBorder="1" applyAlignment="1">
      <alignment horizontal="center" vertical="center" wrapText="1"/>
    </xf>
    <xf numFmtId="0" fontId="15" fillId="0" borderId="12" xfId="0" applyFont="1" applyBorder="1" applyAlignment="1">
      <alignment horizontal="center" vertical="center" wrapText="1"/>
    </xf>
    <xf numFmtId="183" fontId="15" fillId="4" borderId="63" xfId="0" applyNumberFormat="1" applyFont="1" applyFill="1" applyBorder="1" applyAlignment="1">
      <alignment horizontal="center" vertical="center"/>
    </xf>
    <xf numFmtId="183" fontId="15" fillId="4" borderId="64" xfId="0" applyNumberFormat="1" applyFont="1" applyFill="1" applyBorder="1" applyAlignment="1">
      <alignment horizontal="center" vertical="center"/>
    </xf>
    <xf numFmtId="183" fontId="15" fillId="4" borderId="22" xfId="0" applyNumberFormat="1" applyFont="1" applyFill="1" applyBorder="1" applyAlignment="1">
      <alignment horizontal="center" vertical="center"/>
    </xf>
    <xf numFmtId="183" fontId="15" fillId="4" borderId="62" xfId="0" applyNumberFormat="1" applyFont="1" applyFill="1" applyBorder="1" applyAlignment="1">
      <alignment horizontal="center" vertical="center"/>
    </xf>
    <xf numFmtId="198" fontId="15" fillId="5" borderId="8" xfId="0" applyNumberFormat="1" applyFont="1" applyFill="1" applyBorder="1" applyAlignment="1" applyProtection="1">
      <alignment horizontal="center" vertical="center"/>
      <protection locked="0"/>
    </xf>
    <xf numFmtId="198" fontId="15" fillId="5" borderId="0" xfId="0" applyNumberFormat="1" applyFont="1" applyFill="1" applyAlignment="1" applyProtection="1">
      <alignment horizontal="center" vertical="center"/>
      <protection locked="0"/>
    </xf>
    <xf numFmtId="198" fontId="15" fillId="5" borderId="9" xfId="0" applyNumberFormat="1" applyFont="1" applyFill="1" applyBorder="1" applyAlignment="1" applyProtection="1">
      <alignment horizontal="center" vertical="center"/>
      <protection locked="0"/>
    </xf>
    <xf numFmtId="198" fontId="15" fillId="5" borderId="10" xfId="0" applyNumberFormat="1" applyFont="1" applyFill="1" applyBorder="1" applyAlignment="1" applyProtection="1">
      <alignment horizontal="center" vertical="center"/>
      <protection locked="0"/>
    </xf>
    <xf numFmtId="198" fontId="15" fillId="5" borderId="11" xfId="0" applyNumberFormat="1" applyFont="1" applyFill="1" applyBorder="1" applyAlignment="1" applyProtection="1">
      <alignment horizontal="center" vertical="center"/>
      <protection locked="0"/>
    </xf>
    <xf numFmtId="198" fontId="15" fillId="5" borderId="12" xfId="0" applyNumberFormat="1" applyFont="1" applyFill="1" applyBorder="1" applyAlignment="1" applyProtection="1">
      <alignment horizontal="center" vertical="center"/>
      <protection locked="0"/>
    </xf>
    <xf numFmtId="0" fontId="20" fillId="0" borderId="8" xfId="0" applyFont="1" applyBorder="1" applyAlignment="1">
      <alignment horizontal="center" vertical="center"/>
    </xf>
    <xf numFmtId="0" fontId="20" fillId="0" borderId="0" xfId="0" applyFont="1" applyAlignment="1">
      <alignment horizontal="center" vertical="center"/>
    </xf>
    <xf numFmtId="0" fontId="20" fillId="0" borderId="10" xfId="0" applyFont="1" applyBorder="1" applyAlignment="1">
      <alignment horizontal="center" vertical="center"/>
    </xf>
    <xf numFmtId="0" fontId="20" fillId="0" borderId="11" xfId="0" applyFont="1" applyBorder="1" applyAlignment="1">
      <alignment horizontal="center" vertical="center"/>
    </xf>
    <xf numFmtId="0" fontId="15" fillId="0" borderId="8" xfId="0" applyFont="1" applyBorder="1" applyAlignment="1">
      <alignment horizontal="center" vertical="center"/>
    </xf>
    <xf numFmtId="0" fontId="15" fillId="0" borderId="9" xfId="0" applyFont="1" applyBorder="1" applyAlignment="1">
      <alignment horizontal="center" vertical="center"/>
    </xf>
    <xf numFmtId="0" fontId="15" fillId="0" borderId="10" xfId="0" applyFont="1" applyBorder="1" applyAlignment="1">
      <alignment horizontal="center" vertical="center"/>
    </xf>
    <xf numFmtId="0" fontId="15" fillId="0" borderId="12" xfId="0" applyFont="1" applyBorder="1" applyAlignment="1">
      <alignment horizontal="center" vertical="center"/>
    </xf>
    <xf numFmtId="0" fontId="20" fillId="10" borderId="2" xfId="0" applyFont="1" applyFill="1" applyBorder="1" applyAlignment="1">
      <alignment horizontal="center"/>
    </xf>
    <xf numFmtId="0" fontId="20" fillId="10" borderId="4" xfId="0" applyFont="1" applyFill="1" applyBorder="1" applyAlignment="1">
      <alignment horizontal="center"/>
    </xf>
    <xf numFmtId="0" fontId="20" fillId="10" borderId="3" xfId="0" applyFont="1" applyFill="1" applyBorder="1" applyAlignment="1">
      <alignment horizontal="center"/>
    </xf>
    <xf numFmtId="197" fontId="15" fillId="16" borderId="13" xfId="0" applyNumberFormat="1" applyFont="1" applyFill="1" applyBorder="1" applyAlignment="1">
      <alignment horizontal="center"/>
    </xf>
    <xf numFmtId="197" fontId="15" fillId="16" borderId="59" xfId="0" applyNumberFormat="1" applyFont="1" applyFill="1" applyBorder="1" applyAlignment="1">
      <alignment horizontal="center"/>
    </xf>
    <xf numFmtId="197" fontId="15" fillId="16" borderId="14" xfId="0" applyNumberFormat="1" applyFont="1" applyFill="1" applyBorder="1" applyAlignment="1">
      <alignment horizontal="center"/>
    </xf>
    <xf numFmtId="0" fontId="15" fillId="16" borderId="13" xfId="0" applyFont="1" applyFill="1" applyBorder="1" applyAlignment="1">
      <alignment horizontal="center"/>
    </xf>
    <xf numFmtId="0" fontId="15" fillId="16" borderId="14" xfId="0" applyFont="1" applyFill="1" applyBorder="1" applyAlignment="1">
      <alignment horizontal="center"/>
    </xf>
    <xf numFmtId="0" fontId="15" fillId="16" borderId="59" xfId="0" applyFont="1" applyFill="1" applyBorder="1" applyAlignment="1">
      <alignment horizontal="center"/>
    </xf>
    <xf numFmtId="0" fontId="21" fillId="2" borderId="2" xfId="0" applyFont="1" applyFill="1" applyBorder="1" applyAlignment="1">
      <alignment horizontal="center" vertical="center"/>
    </xf>
    <xf numFmtId="0" fontId="21" fillId="2" borderId="4" xfId="0" applyFont="1" applyFill="1" applyBorder="1" applyAlignment="1">
      <alignment horizontal="center" vertical="center"/>
    </xf>
    <xf numFmtId="0" fontId="21" fillId="2" borderId="3" xfId="0" applyFont="1" applyFill="1" applyBorder="1" applyAlignment="1">
      <alignment horizontal="center" vertical="center"/>
    </xf>
    <xf numFmtId="183" fontId="15" fillId="5" borderId="8" xfId="0" applyNumberFormat="1" applyFont="1" applyFill="1" applyBorder="1" applyAlignment="1" applyProtection="1">
      <alignment horizontal="center" vertical="center"/>
      <protection locked="0"/>
    </xf>
    <xf numFmtId="183" fontId="15" fillId="5" borderId="0" xfId="0" applyNumberFormat="1" applyFont="1" applyFill="1" applyAlignment="1" applyProtection="1">
      <alignment horizontal="center" vertical="center"/>
      <protection locked="0"/>
    </xf>
    <xf numFmtId="183" fontId="15" fillId="5" borderId="9" xfId="0" applyNumberFormat="1" applyFont="1" applyFill="1" applyBorder="1" applyAlignment="1" applyProtection="1">
      <alignment horizontal="center" vertical="center"/>
      <protection locked="0"/>
    </xf>
    <xf numFmtId="183" fontId="15" fillId="5" borderId="10" xfId="0" applyNumberFormat="1" applyFont="1" applyFill="1" applyBorder="1" applyAlignment="1" applyProtection="1">
      <alignment horizontal="center" vertical="center"/>
      <protection locked="0"/>
    </xf>
    <xf numFmtId="183" fontId="15" fillId="5" borderId="11" xfId="0" applyNumberFormat="1" applyFont="1" applyFill="1" applyBorder="1" applyAlignment="1" applyProtection="1">
      <alignment horizontal="center" vertical="center"/>
      <protection locked="0"/>
    </xf>
    <xf numFmtId="183" fontId="15" fillId="5" borderId="12" xfId="0" applyNumberFormat="1" applyFont="1" applyFill="1" applyBorder="1" applyAlignment="1" applyProtection="1">
      <alignment horizontal="center" vertical="center"/>
      <protection locked="0"/>
    </xf>
    <xf numFmtId="0" fontId="15" fillId="2" borderId="0" xfId="0" applyFont="1" applyFill="1" applyBorder="1" applyAlignment="1">
      <alignment horizontal="center"/>
    </xf>
    <xf numFmtId="0" fontId="15" fillId="2" borderId="9" xfId="0" applyFont="1" applyFill="1" applyBorder="1" applyAlignment="1">
      <alignment horizontal="center"/>
    </xf>
    <xf numFmtId="0" fontId="1" fillId="2" borderId="0" xfId="0" applyFont="1" applyFill="1" applyAlignment="1">
      <alignment horizontal="center" vertical="center" wrapText="1"/>
    </xf>
    <xf numFmtId="187" fontId="1" fillId="2" borderId="53" xfId="0" applyNumberFormat="1" applyFont="1" applyFill="1" applyBorder="1" applyAlignment="1">
      <alignment horizontal="center" vertical="center"/>
    </xf>
    <xf numFmtId="187" fontId="1" fillId="2" borderId="0" xfId="0" applyNumberFormat="1" applyFont="1" applyFill="1" applyAlignment="1">
      <alignment horizontal="center" vertical="center"/>
    </xf>
    <xf numFmtId="194" fontId="1" fillId="2" borderId="55" xfId="0" applyNumberFormat="1" applyFont="1" applyFill="1" applyBorder="1" applyAlignment="1">
      <alignment horizontal="center" vertical="center"/>
    </xf>
    <xf numFmtId="194" fontId="1" fillId="2" borderId="11" xfId="0" applyNumberFormat="1" applyFont="1" applyFill="1" applyBorder="1" applyAlignment="1">
      <alignment horizontal="center" vertical="center"/>
    </xf>
    <xf numFmtId="0" fontId="2" fillId="6" borderId="5"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Alignment="1">
      <alignment horizontal="center" vertical="center"/>
    </xf>
    <xf numFmtId="0" fontId="2" fillId="6" borderId="12"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3" xfId="0" applyFont="1" applyFill="1" applyBorder="1" applyAlignment="1">
      <alignment horizontal="center" vertical="center"/>
    </xf>
    <xf numFmtId="187" fontId="1" fillId="2" borderId="54" xfId="0" applyNumberFormat="1" applyFont="1" applyFill="1" applyBorder="1" applyAlignment="1">
      <alignment horizontal="center" vertical="center"/>
    </xf>
    <xf numFmtId="187" fontId="1" fillId="2" borderId="6" xfId="0" applyNumberFormat="1" applyFont="1" applyFill="1" applyBorder="1" applyAlignment="1">
      <alignment horizontal="center" vertical="center"/>
    </xf>
    <xf numFmtId="0" fontId="2" fillId="2" borderId="28"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2"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30" xfId="0" applyFont="1" applyFill="1" applyBorder="1" applyAlignment="1">
      <alignment horizontal="center" vertical="center"/>
    </xf>
    <xf numFmtId="0" fontId="1" fillId="2" borderId="29" xfId="0" applyFont="1" applyFill="1" applyBorder="1" applyAlignment="1">
      <alignment horizontal="center" vertical="center"/>
    </xf>
    <xf numFmtId="0" fontId="2" fillId="4" borderId="7"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12" xfId="0" applyFont="1" applyFill="1" applyBorder="1" applyAlignment="1">
      <alignment horizontal="center" vertical="center" wrapText="1"/>
    </xf>
    <xf numFmtId="0" fontId="2" fillId="13" borderId="31" xfId="0" applyFont="1" applyFill="1" applyBorder="1" applyAlignment="1">
      <alignment horizontal="center" vertical="center" wrapText="1"/>
    </xf>
    <xf numFmtId="0" fontId="2" fillId="13" borderId="33" xfId="0" applyFont="1" applyFill="1" applyBorder="1" applyAlignment="1">
      <alignment horizontal="center" vertical="center" wrapText="1"/>
    </xf>
    <xf numFmtId="0" fontId="2" fillId="13" borderId="32" xfId="0" applyFont="1" applyFill="1" applyBorder="1" applyAlignment="1">
      <alignment horizontal="center" vertical="center" wrapText="1"/>
    </xf>
    <xf numFmtId="0" fontId="1" fillId="2" borderId="11" xfId="0" applyFont="1" applyFill="1" applyBorder="1" applyAlignment="1">
      <alignment horizontal="center" vertical="center"/>
    </xf>
    <xf numFmtId="169" fontId="1" fillId="2" borderId="54" xfId="0" applyNumberFormat="1" applyFont="1" applyFill="1" applyBorder="1" applyAlignment="1">
      <alignment horizontal="center" vertical="center"/>
    </xf>
    <xf numFmtId="169" fontId="1" fillId="2" borderId="7" xfId="0" applyNumberFormat="1" applyFont="1" applyFill="1" applyBorder="1" applyAlignment="1">
      <alignment horizontal="center" vertical="center"/>
    </xf>
    <xf numFmtId="169" fontId="1" fillId="2" borderId="55" xfId="0" applyNumberFormat="1" applyFont="1" applyFill="1" applyBorder="1" applyAlignment="1">
      <alignment horizontal="center" vertical="center"/>
    </xf>
    <xf numFmtId="0" fontId="2" fillId="6" borderId="11" xfId="0" applyFont="1" applyFill="1" applyBorder="1" applyAlignment="1">
      <alignment horizontal="center" vertical="center"/>
    </xf>
    <xf numFmtId="0" fontId="2" fillId="0" borderId="47" xfId="0" applyFont="1" applyBorder="1" applyAlignment="1">
      <alignment horizontal="center" vertical="center"/>
    </xf>
    <xf numFmtId="0" fontId="2" fillId="0" borderId="46" xfId="0" applyFont="1" applyBorder="1" applyAlignment="1">
      <alignment horizontal="center" vertical="center"/>
    </xf>
    <xf numFmtId="189" fontId="1" fillId="0" borderId="36" xfId="0" applyNumberFormat="1" applyFont="1" applyBorder="1" applyAlignment="1">
      <alignment horizontal="center" vertical="center"/>
    </xf>
    <xf numFmtId="189" fontId="1" fillId="0" borderId="37" xfId="0" applyNumberFormat="1" applyFont="1" applyBorder="1" applyAlignment="1">
      <alignment horizontal="center" vertical="center"/>
    </xf>
    <xf numFmtId="189" fontId="1" fillId="0" borderId="34" xfId="0" applyNumberFormat="1" applyFont="1" applyBorder="1" applyAlignment="1">
      <alignment horizontal="center" vertical="center"/>
    </xf>
    <xf numFmtId="189" fontId="1" fillId="2" borderId="34" xfId="0" applyNumberFormat="1" applyFont="1" applyFill="1" applyBorder="1" applyAlignment="1">
      <alignment horizontal="center" vertical="center"/>
    </xf>
    <xf numFmtId="189" fontId="1" fillId="0" borderId="38" xfId="0" applyNumberFormat="1" applyFont="1" applyBorder="1" applyAlignment="1">
      <alignment horizontal="center" vertical="center"/>
    </xf>
    <xf numFmtId="1" fontId="1" fillId="0" borderId="41" xfId="0" applyNumberFormat="1" applyFont="1" applyBorder="1" applyAlignment="1">
      <alignment horizontal="center" vertical="center"/>
    </xf>
    <xf numFmtId="0" fontId="1" fillId="0" borderId="41" xfId="0" applyFont="1" applyBorder="1" applyAlignment="1">
      <alignment horizontal="center" vertical="center"/>
    </xf>
    <xf numFmtId="0" fontId="1" fillId="0" borderId="42" xfId="0" applyFont="1" applyBorder="1" applyAlignment="1">
      <alignment horizontal="center" vertical="center"/>
    </xf>
    <xf numFmtId="0" fontId="1" fillId="0" borderId="34" xfId="0" applyFont="1" applyBorder="1" applyAlignment="1">
      <alignment horizontal="center" vertical="center" wrapText="1"/>
    </xf>
    <xf numFmtId="0" fontId="1" fillId="0" borderId="43" xfId="0" applyFont="1" applyBorder="1" applyAlignment="1">
      <alignment horizontal="center" vertical="center" wrapText="1"/>
    </xf>
    <xf numFmtId="1" fontId="1" fillId="0" borderId="42" xfId="0" applyNumberFormat="1" applyFont="1" applyBorder="1" applyAlignment="1">
      <alignment horizontal="center" vertical="center"/>
    </xf>
    <xf numFmtId="1" fontId="1" fillId="13" borderId="41" xfId="0" applyNumberFormat="1" applyFont="1" applyFill="1" applyBorder="1" applyAlignment="1">
      <alignment horizontal="center" vertical="center"/>
    </xf>
    <xf numFmtId="0" fontId="2" fillId="10" borderId="2" xfId="0" applyFont="1" applyFill="1" applyBorder="1" applyAlignment="1">
      <alignment horizontal="center" vertical="center"/>
    </xf>
    <xf numFmtId="0" fontId="2" fillId="10" borderId="4" xfId="0" applyFont="1" applyFill="1" applyBorder="1" applyAlignment="1">
      <alignment horizontal="center" vertical="center"/>
    </xf>
    <xf numFmtId="0" fontId="11" fillId="6" borderId="10" xfId="0" applyFont="1" applyFill="1" applyBorder="1" applyAlignment="1">
      <alignment horizontal="center" vertical="center"/>
    </xf>
    <xf numFmtId="0" fontId="11" fillId="6" borderId="1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4" xfId="0" applyFont="1" applyFill="1" applyBorder="1" applyAlignment="1">
      <alignment horizontal="center" vertical="center"/>
    </xf>
    <xf numFmtId="0" fontId="11" fillId="6" borderId="3" xfId="0" applyFont="1" applyFill="1" applyBorder="1" applyAlignment="1">
      <alignment horizontal="center" vertical="center"/>
    </xf>
    <xf numFmtId="1" fontId="1" fillId="0" borderId="39" xfId="0" applyNumberFormat="1" applyFont="1" applyBorder="1" applyAlignment="1">
      <alignment horizontal="center" vertical="center"/>
    </xf>
    <xf numFmtId="0" fontId="1" fillId="0" borderId="39" xfId="0" applyFont="1" applyBorder="1" applyAlignment="1">
      <alignment horizontal="center" vertical="center"/>
    </xf>
    <xf numFmtId="0" fontId="2" fillId="10" borderId="3" xfId="0" applyFont="1" applyFill="1" applyBorder="1" applyAlignment="1">
      <alignment horizontal="center" vertical="center"/>
    </xf>
    <xf numFmtId="0" fontId="1" fillId="10" borderId="17" xfId="0" applyFont="1" applyFill="1" applyBorder="1" applyAlignment="1">
      <alignment horizontal="center" vertical="center"/>
    </xf>
    <xf numFmtId="0" fontId="1" fillId="10" borderId="21" xfId="0" applyFont="1" applyFill="1" applyBorder="1" applyAlignment="1">
      <alignment horizontal="center" vertical="center"/>
    </xf>
    <xf numFmtId="0" fontId="1" fillId="10" borderId="18" xfId="0" applyFont="1" applyFill="1" applyBorder="1" applyAlignment="1">
      <alignment horizontal="center" vertical="center"/>
    </xf>
    <xf numFmtId="0" fontId="2" fillId="6" borderId="2" xfId="0" applyFont="1" applyFill="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1" fillId="0" borderId="40" xfId="0" applyFont="1" applyBorder="1" applyAlignment="1">
      <alignment horizontal="center" vertical="center" wrapText="1"/>
    </xf>
    <xf numFmtId="0" fontId="2" fillId="0" borderId="2" xfId="0" applyFont="1" applyBorder="1" applyAlignment="1">
      <alignment horizontal="center" vertical="center"/>
    </xf>
    <xf numFmtId="0" fontId="1" fillId="0" borderId="44"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5" xfId="0" applyFont="1" applyBorder="1" applyAlignment="1">
      <alignment horizontal="center" vertical="center"/>
    </xf>
    <xf numFmtId="0" fontId="1" fillId="0" borderId="45" xfId="0" applyFont="1" applyBorder="1" applyAlignment="1">
      <alignment horizontal="center" vertical="center"/>
    </xf>
    <xf numFmtId="0" fontId="2" fillId="13" borderId="35"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12" xfId="0" applyFont="1" applyFill="1" applyBorder="1" applyAlignment="1">
      <alignment horizontal="center" vertical="center"/>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2" fillId="6" borderId="10" xfId="0" applyFont="1" applyFill="1" applyBorder="1" applyAlignment="1">
      <alignment horizontal="center" vertical="center"/>
    </xf>
    <xf numFmtId="0" fontId="11" fillId="10" borderId="17" xfId="0" applyFont="1" applyFill="1" applyBorder="1" applyAlignment="1">
      <alignment horizontal="center" vertical="center"/>
    </xf>
    <xf numFmtId="0" fontId="11" fillId="10" borderId="21" xfId="0" applyFont="1" applyFill="1" applyBorder="1" applyAlignment="1">
      <alignment horizontal="center" vertical="center"/>
    </xf>
    <xf numFmtId="0" fontId="11" fillId="10" borderId="18" xfId="0" applyFont="1" applyFill="1" applyBorder="1" applyAlignment="1">
      <alignment horizontal="center" vertical="center"/>
    </xf>
    <xf numFmtId="1" fontId="2" fillId="6" borderId="10" xfId="0" applyNumberFormat="1" applyFont="1" applyFill="1" applyBorder="1" applyAlignment="1">
      <alignment horizontal="center" vertical="center"/>
    </xf>
    <xf numFmtId="1" fontId="2" fillId="6" borderId="11" xfId="0" applyNumberFormat="1" applyFont="1" applyFill="1" applyBorder="1" applyAlignment="1">
      <alignment horizontal="center" vertical="center"/>
    </xf>
    <xf numFmtId="191" fontId="1" fillId="2" borderId="5" xfId="0" applyNumberFormat="1" applyFont="1" applyFill="1" applyBorder="1" applyAlignment="1">
      <alignment horizontal="center" vertical="center"/>
    </xf>
    <xf numFmtId="191" fontId="1" fillId="2" borderId="6" xfId="0" applyNumberFormat="1" applyFont="1" applyFill="1" applyBorder="1" applyAlignment="1">
      <alignment horizontal="center" vertical="center"/>
    </xf>
    <xf numFmtId="191" fontId="1" fillId="2" borderId="7" xfId="0" applyNumberFormat="1" applyFont="1" applyFill="1" applyBorder="1" applyAlignment="1">
      <alignment horizontal="center" vertical="center"/>
    </xf>
    <xf numFmtId="191" fontId="1" fillId="2" borderId="8" xfId="0" applyNumberFormat="1" applyFont="1" applyFill="1" applyBorder="1" applyAlignment="1">
      <alignment horizontal="center" vertical="center"/>
    </xf>
    <xf numFmtId="191" fontId="1" fillId="2" borderId="0" xfId="0" applyNumberFormat="1" applyFont="1" applyFill="1" applyAlignment="1">
      <alignment horizontal="center" vertical="center"/>
    </xf>
    <xf numFmtId="191" fontId="1" fillId="2" borderId="9" xfId="0" applyNumberFormat="1" applyFont="1" applyFill="1" applyBorder="1" applyAlignment="1">
      <alignment horizontal="center" vertical="center"/>
    </xf>
    <xf numFmtId="191" fontId="1" fillId="2" borderId="10" xfId="0" applyNumberFormat="1" applyFont="1" applyFill="1" applyBorder="1" applyAlignment="1">
      <alignment horizontal="center" vertical="center"/>
    </xf>
    <xf numFmtId="191" fontId="1" fillId="2" borderId="11" xfId="0" applyNumberFormat="1" applyFont="1" applyFill="1" applyBorder="1" applyAlignment="1">
      <alignment horizontal="center" vertical="center"/>
    </xf>
    <xf numFmtId="191" fontId="1" fillId="2" borderId="12" xfId="0" applyNumberFormat="1" applyFont="1" applyFill="1" applyBorder="1" applyAlignment="1">
      <alignment horizontal="center" vertical="center"/>
    </xf>
    <xf numFmtId="0" fontId="1" fillId="2" borderId="0" xfId="0" applyFont="1" applyFill="1" applyAlignment="1">
      <alignment horizontal="center" vertical="center"/>
    </xf>
    <xf numFmtId="0" fontId="1" fillId="2" borderId="9" xfId="0" applyFont="1" applyFill="1" applyBorder="1" applyAlignment="1">
      <alignment horizontal="center" vertical="center"/>
    </xf>
    <xf numFmtId="0" fontId="1" fillId="2" borderId="12" xfId="0" applyFont="1" applyFill="1" applyBorder="1" applyAlignment="1">
      <alignment horizontal="center" vertical="center"/>
    </xf>
    <xf numFmtId="0" fontId="1" fillId="6" borderId="6" xfId="0" applyFont="1" applyFill="1" applyBorder="1" applyAlignment="1">
      <alignment horizontal="center" vertical="center"/>
    </xf>
    <xf numFmtId="0" fontId="0" fillId="0" borderId="0" xfId="0" applyAlignment="1">
      <alignment horizontal="center" vertical="center" wrapText="1"/>
    </xf>
  </cellXfs>
  <cellStyles count="2">
    <cellStyle name="Normal" xfId="0" builtinId="0"/>
    <cellStyle name="Percent" xfId="1" builtinId="5"/>
  </cellStyles>
  <dxfs count="17">
    <dxf>
      <fill>
        <patternFill>
          <bgColor rgb="FF92D050"/>
        </patternFill>
      </fill>
    </dxf>
    <dxf>
      <fill>
        <patternFill>
          <bgColor rgb="FFFF0000"/>
        </patternFill>
      </fill>
    </dxf>
    <dxf>
      <fill>
        <patternFill>
          <bgColor rgb="FFFF0000"/>
        </patternFill>
      </fill>
    </dxf>
    <dxf>
      <fill>
        <patternFill>
          <bgColor rgb="FFFF0000"/>
        </patternFill>
      </fill>
    </dxf>
    <dxf>
      <fill>
        <patternFill>
          <bgColor theme="9" tint="0.59996337778862885"/>
        </patternFill>
      </fill>
    </dxf>
    <dxf>
      <fill>
        <patternFill>
          <bgColor theme="7" tint="0.59996337778862885"/>
        </patternFill>
      </fill>
    </dxf>
    <dxf>
      <fill>
        <patternFill>
          <bgColor rgb="FFFF4747"/>
        </patternFill>
      </fill>
    </dxf>
    <dxf>
      <fill>
        <patternFill>
          <bgColor rgb="FF92D050"/>
        </patternFill>
      </fill>
    </dxf>
    <dxf>
      <fill>
        <patternFill>
          <bgColor rgb="FFFF0000"/>
        </patternFill>
      </fill>
    </dxf>
    <dxf>
      <fill>
        <patternFill>
          <bgColor rgb="FFFF6565"/>
        </patternFill>
      </fill>
    </dxf>
    <dxf>
      <fill>
        <patternFill patternType="solid">
          <fgColor rgb="FF00B050"/>
          <bgColor theme="9" tint="0.79995117038483843"/>
        </patternFill>
      </fill>
    </dxf>
    <dxf>
      <fill>
        <patternFill>
          <bgColor rgb="FFFF0000"/>
        </patternFill>
      </fill>
    </dxf>
    <dxf>
      <fill>
        <patternFill>
          <bgColor rgb="FF92D050"/>
        </patternFill>
      </fill>
    </dxf>
    <dxf>
      <fill>
        <patternFill patternType="mediumGray">
          <fgColor rgb="FF00B050"/>
        </patternFill>
      </fill>
    </dxf>
    <dxf>
      <fill>
        <patternFill patternType="mediumGray">
          <fgColor rgb="FFFF0000"/>
        </patternFill>
      </fill>
    </dxf>
    <dxf>
      <fill>
        <patternFill patternType="mediumGray">
          <fgColor rgb="FF00B050"/>
        </patternFill>
      </fill>
    </dxf>
    <dxf>
      <fill>
        <patternFill patternType="mediumGray">
          <fgColor rgb="FFFF0000"/>
        </patternFill>
      </fill>
    </dxf>
  </dxfs>
  <tableStyles count="0" defaultTableStyle="TableStyleMedium2" defaultPivotStyle="PivotStyleLight16"/>
  <colors>
    <mruColors>
      <color rgb="FFFF4747"/>
      <color rgb="FFFF6565"/>
      <color rgb="FFFF7979"/>
      <color rgb="FFFF5757"/>
      <color rgb="FFFF7D7D"/>
      <color rgb="FFFF6969"/>
      <color rgb="FFFFFFCC"/>
      <color rgb="FFE600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19</xdr:row>
          <xdr:rowOff>19050</xdr:rowOff>
        </xdr:from>
        <xdr:to>
          <xdr:col>7</xdr:col>
          <xdr:colOff>1771650</xdr:colOff>
          <xdr:row>24</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CHECK</a:t>
              </a:r>
            </a:p>
          </xdr:txBody>
        </xdr:sp>
        <xdr:clientData fPrintsWithSheet="0"/>
      </xdr:twoCellAnchor>
    </mc:Choice>
    <mc:Fallback/>
  </mc:AlternateContent>
  <xdr:twoCellAnchor>
    <xdr:from>
      <xdr:col>12</xdr:col>
      <xdr:colOff>325119</xdr:colOff>
      <xdr:row>6</xdr:row>
      <xdr:rowOff>208704</xdr:rowOff>
    </xdr:from>
    <xdr:to>
      <xdr:col>19</xdr:col>
      <xdr:colOff>298964</xdr:colOff>
      <xdr:row>23</xdr:row>
      <xdr:rowOff>31750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4602036" y="1743287"/>
          <a:ext cx="4270678" cy="4056380"/>
        </a:xfrm>
        <a:prstGeom prst="rect">
          <a:avLst/>
        </a:prstGeom>
        <a:solidFill>
          <a:schemeClr val="accent2">
            <a:lumMod val="20000"/>
            <a:lumOff val="80000"/>
          </a:schemeClr>
        </a:solidFill>
        <a:ln w="571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latin typeface="Arial" panose="020B0604020202020204" pitchFamily="34" charset="0"/>
              <a:cs typeface="Arial" panose="020B0604020202020204" pitchFamily="34" charset="0"/>
            </a:rPr>
            <a:t>BLUF</a:t>
          </a:r>
          <a:r>
            <a:rPr lang="en-US" sz="1200">
              <a:latin typeface="Arial" panose="020B0604020202020204" pitchFamily="34" charset="0"/>
              <a:cs typeface="Arial" panose="020B0604020202020204" pitchFamily="34" charset="0"/>
            </a:rPr>
            <a:t>:</a:t>
          </a:r>
          <a:r>
            <a:rPr lang="en-US" sz="1200" baseline="0">
              <a:latin typeface="Arial" panose="020B0604020202020204" pitchFamily="34" charset="0"/>
              <a:cs typeface="Arial" panose="020B0604020202020204" pitchFamily="34" charset="0"/>
            </a:rPr>
            <a:t> This worksheet is to be used by a spectrum manager or BDE CEMA cell to investigate and deconflict the electromagnetic spectrum (EMS) ISO investigating signals-of-interest (SOI) and planning Electromagnetic Attack (EA) operations. This worksheet is dependent on the "JRFL", "BLUEFOR", and "CIVFREQ" worksheets. Macros must be enabled to utilize this worksheet.</a:t>
          </a:r>
        </a:p>
        <a:p>
          <a:pPr algn="l"/>
          <a:endParaRPr lang="en-US" sz="1200" baseline="0">
            <a:latin typeface="Arial" panose="020B0604020202020204" pitchFamily="34" charset="0"/>
            <a:cs typeface="Arial" panose="020B0604020202020204" pitchFamily="34" charset="0"/>
          </a:endParaRPr>
        </a:p>
        <a:p>
          <a:pPr algn="l"/>
          <a:r>
            <a:rPr lang="en-US" sz="1200" b="1" baseline="0">
              <a:latin typeface="Arial" panose="020B0604020202020204" pitchFamily="34" charset="0"/>
              <a:cs typeface="Arial" panose="020B0604020202020204" pitchFamily="34" charset="0"/>
            </a:rPr>
            <a:t>INPUT</a:t>
          </a:r>
          <a:r>
            <a:rPr lang="en-US" sz="1200" baseline="0">
              <a:latin typeface="Arial" panose="020B0604020202020204" pitchFamily="34" charset="0"/>
              <a:cs typeface="Arial" panose="020B0604020202020204" pitchFamily="34" charset="0"/>
            </a:rPr>
            <a:t>: The operator should input an upper and lower frequency to be cross-referenced with the attached JRFL, known civilian frequencies, and friendly nets. The operator then clicks the "CHECK" button to initate.</a:t>
          </a:r>
        </a:p>
        <a:p>
          <a:pPr algn="l"/>
          <a:endParaRPr lang="en-US" sz="1200" baseline="0">
            <a:latin typeface="Arial" panose="020B0604020202020204" pitchFamily="34" charset="0"/>
            <a:cs typeface="Arial" panose="020B0604020202020204" pitchFamily="34" charset="0"/>
          </a:endParaRPr>
        </a:p>
        <a:p>
          <a:pPr algn="l"/>
          <a:r>
            <a:rPr lang="en-US" sz="1200" b="1" baseline="0">
              <a:latin typeface="Arial" panose="020B0604020202020204" pitchFamily="34" charset="0"/>
              <a:cs typeface="Arial" panose="020B0604020202020204" pitchFamily="34" charset="0"/>
            </a:rPr>
            <a:t>OUTPUT</a:t>
          </a:r>
          <a:r>
            <a:rPr lang="en-US" sz="1200" baseline="0">
              <a:latin typeface="Arial" panose="020B0604020202020204" pitchFamily="34" charset="0"/>
              <a:cs typeface="Arial" panose="020B0604020202020204" pitchFamily="34" charset="0"/>
            </a:rPr>
            <a:t>: The worksheet identifies conflicts that the input frequency range has with the attached JRFL, known civilian frequencies, and friendly nets.</a:t>
          </a:r>
        </a:p>
        <a:p>
          <a:pPr algn="l"/>
          <a:endParaRPr lang="en-US" sz="1200" baseline="0">
            <a:latin typeface="Arial" panose="020B0604020202020204" pitchFamily="34" charset="0"/>
            <a:cs typeface="Arial" panose="020B0604020202020204" pitchFamily="34" charset="0"/>
          </a:endParaRPr>
        </a:p>
        <a:p>
          <a:pPr algn="l"/>
          <a:r>
            <a:rPr lang="en-US" sz="1200" b="1" baseline="0">
              <a:latin typeface="Arial" panose="020B0604020202020204" pitchFamily="34" charset="0"/>
              <a:cs typeface="Arial" panose="020B0604020202020204" pitchFamily="34" charset="0"/>
            </a:rPr>
            <a:t>NOTE: </a:t>
          </a:r>
          <a:r>
            <a:rPr lang="en-US" sz="1200" baseline="0">
              <a:latin typeface="Arial" panose="020B0604020202020204" pitchFamily="34" charset="0"/>
              <a:cs typeface="Arial" panose="020B0604020202020204" pitchFamily="34" charset="0"/>
            </a:rPr>
            <a:t>The frequency worksheets can be rearranged within the workbook but cannot be renamed. The structure and syntax of the worksheets must remain to retain functionality. Additional frequencies may be appended to the frequency worksheets, while ensuring no blank rows. </a:t>
          </a:r>
        </a:p>
      </xdr:txBody>
    </xdr:sp>
    <xdr:clientData/>
  </xdr:twoCellAnchor>
  <mc:AlternateContent xmlns:mc="http://schemas.openxmlformats.org/markup-compatibility/2006">
    <mc:Choice xmlns:a14="http://schemas.microsoft.com/office/drawing/2010/main" Requires="a14">
      <xdr:twoCellAnchor>
        <xdr:from>
          <xdr:col>7</xdr:col>
          <xdr:colOff>9525</xdr:colOff>
          <xdr:row>24</xdr:row>
          <xdr:rowOff>171450</xdr:rowOff>
        </xdr:from>
        <xdr:to>
          <xdr:col>7</xdr:col>
          <xdr:colOff>1762125</xdr:colOff>
          <xdr:row>31</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587375</xdr:colOff>
      <xdr:row>0</xdr:row>
      <xdr:rowOff>131127</xdr:rowOff>
    </xdr:from>
    <xdr:to>
      <xdr:col>15</xdr:col>
      <xdr:colOff>21355</xdr:colOff>
      <xdr:row>26</xdr:row>
      <xdr:rowOff>60007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81906" y="131127"/>
          <a:ext cx="4553667" cy="5786279"/>
        </a:xfrm>
        <a:prstGeom prst="rect">
          <a:avLst/>
        </a:prstGeom>
      </xdr:spPr>
    </xdr:pic>
    <xdr:clientData/>
  </xdr:twoCellAnchor>
  <xdr:twoCellAnchor editAs="oneCell">
    <xdr:from>
      <xdr:col>15</xdr:col>
      <xdr:colOff>222409</xdr:colOff>
      <xdr:row>1</xdr:row>
      <xdr:rowOff>47624</xdr:rowOff>
    </xdr:from>
    <xdr:to>
      <xdr:col>18</xdr:col>
      <xdr:colOff>377666</xdr:colOff>
      <xdr:row>9</xdr:row>
      <xdr:rowOff>247649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736628" y="261937"/>
          <a:ext cx="3227070" cy="21564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402498</xdr:colOff>
      <xdr:row>65</xdr:row>
      <xdr:rowOff>29117</xdr:rowOff>
    </xdr:from>
    <xdr:to>
      <xdr:col>10</xdr:col>
      <xdr:colOff>233226</xdr:colOff>
      <xdr:row>85</xdr:row>
      <xdr:rowOff>77832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171927" y="13663474"/>
          <a:ext cx="5504906" cy="3885929"/>
        </a:xfrm>
        <a:prstGeom prst="rect">
          <a:avLst/>
        </a:prstGeom>
        <a:solidFill>
          <a:schemeClr val="accent2">
            <a:lumMod val="20000"/>
            <a:lumOff val="80000"/>
          </a:schemeClr>
        </a:solidFill>
        <a:ln w="571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latin typeface="Arial" panose="020B0604020202020204" pitchFamily="34" charset="0"/>
              <a:cs typeface="Arial" panose="020B0604020202020204" pitchFamily="34" charset="0"/>
            </a:rPr>
            <a:t>BLUF</a:t>
          </a:r>
          <a:r>
            <a:rPr lang="en-US" sz="1200">
              <a:latin typeface="Arial" panose="020B0604020202020204" pitchFamily="34" charset="0"/>
              <a:cs typeface="Arial" panose="020B0604020202020204" pitchFamily="34" charset="0"/>
            </a:rPr>
            <a:t>:</a:t>
          </a:r>
          <a:r>
            <a:rPr lang="en-US" sz="1200" baseline="0">
              <a:latin typeface="Arial" panose="020B0604020202020204" pitchFamily="34" charset="0"/>
              <a:cs typeface="Arial" panose="020B0604020202020204" pitchFamily="34" charset="0"/>
            </a:rPr>
            <a:t> This worksheet is to be used by an EW PLT or BDE CEMA section to locate a target emitter during direction-finding (DF) operations.</a:t>
          </a:r>
        </a:p>
        <a:p>
          <a:pPr algn="l"/>
          <a:endParaRPr lang="en-US" sz="1200" baseline="0">
            <a:latin typeface="Arial" panose="020B0604020202020204" pitchFamily="34" charset="0"/>
            <a:cs typeface="Arial" panose="020B0604020202020204" pitchFamily="34" charset="0"/>
          </a:endParaRPr>
        </a:p>
        <a:p>
          <a:pPr algn="l"/>
          <a:r>
            <a:rPr lang="en-US" sz="1200" b="1" baseline="0">
              <a:latin typeface="Arial" panose="020B0604020202020204" pitchFamily="34" charset="0"/>
              <a:cs typeface="Arial" panose="020B0604020202020204" pitchFamily="34" charset="0"/>
            </a:rPr>
            <a:t>INPUT (BLUE)</a:t>
          </a:r>
          <a:r>
            <a:rPr lang="en-US" sz="1200" baseline="0">
              <a:latin typeface="Arial" panose="020B0604020202020204" pitchFamily="34" charset="0"/>
              <a:cs typeface="Arial" panose="020B0604020202020204" pitchFamily="34" charset="0"/>
            </a:rPr>
            <a:t>: The operator should input LOBs from each EWT (always starting with EWT 1), adjust the estimated minimum and maximum power output of the taret emitter, adjust the MGRS grid designator, and error of the DF system.</a:t>
          </a:r>
        </a:p>
        <a:p>
          <a:pPr algn="l"/>
          <a:endParaRPr lang="en-US" sz="1200" baseline="0">
            <a:latin typeface="Arial" panose="020B0604020202020204" pitchFamily="34" charset="0"/>
            <a:cs typeface="Arial" panose="020B0604020202020204" pitchFamily="34" charset="0"/>
          </a:endParaRPr>
        </a:p>
        <a:p>
          <a:pPr algn="l"/>
          <a:r>
            <a:rPr lang="en-US" sz="1200" b="1" baseline="0">
              <a:latin typeface="Arial" panose="020B0604020202020204" pitchFamily="34" charset="0"/>
              <a:cs typeface="Arial" panose="020B0604020202020204" pitchFamily="34" charset="0"/>
            </a:rPr>
            <a:t>OUTPUT (YELLOW)</a:t>
          </a:r>
          <a:r>
            <a:rPr lang="en-US" sz="1200" baseline="0">
              <a:latin typeface="Arial" panose="020B0604020202020204" pitchFamily="34" charset="0"/>
              <a:cs typeface="Arial" panose="020B0604020202020204" pitchFamily="34" charset="0"/>
            </a:rPr>
            <a:t>: The worksheet outputs an estimated MGRS grid location of the target emitter. It automatically adjusts to choosing a LOB, CUT, and FIX-based grid to be the most accurate grid location. The worksheet also estimates the amount of error expected with the grid estimate. The error represents the area of uncertainty were the emitter may be located when factoring in the DF equipment's error rating. </a:t>
          </a:r>
        </a:p>
        <a:p>
          <a:pPr algn="l"/>
          <a:endParaRPr lang="en-US" sz="1200" baseline="0">
            <a:latin typeface="Arial" panose="020B0604020202020204" pitchFamily="34" charset="0"/>
            <a:cs typeface="Arial" panose="020B0604020202020204" pitchFamily="34" charset="0"/>
          </a:endParaRPr>
        </a:p>
        <a:p>
          <a:pPr algn="l"/>
          <a:r>
            <a:rPr lang="en-US" sz="1200" b="1" u="sng" baseline="0">
              <a:latin typeface="Arial" panose="020B0604020202020204" pitchFamily="34" charset="0"/>
              <a:cs typeface="Arial" panose="020B0604020202020204" pitchFamily="34" charset="0"/>
            </a:rPr>
            <a:t>COLOR LEGEND:</a:t>
          </a:r>
        </a:p>
        <a:p>
          <a:pPr algn="l"/>
          <a:r>
            <a:rPr lang="en-US" sz="1200" baseline="0">
              <a:solidFill>
                <a:schemeClr val="tx1"/>
              </a:solidFill>
              <a:latin typeface="Arial" panose="020B0604020202020204" pitchFamily="34" charset="0"/>
              <a:cs typeface="Arial" panose="020B0604020202020204" pitchFamily="34" charset="0"/>
            </a:rPr>
            <a:t>BLUE</a:t>
          </a:r>
          <a:r>
            <a:rPr lang="en-US" sz="1200" baseline="0">
              <a:latin typeface="Arial" panose="020B0604020202020204" pitchFamily="34" charset="0"/>
              <a:cs typeface="Arial" panose="020B0604020202020204" pitchFamily="34" charset="0"/>
            </a:rPr>
            <a:t> --&gt; input</a:t>
          </a:r>
        </a:p>
        <a:p>
          <a:pPr algn="l"/>
          <a:r>
            <a:rPr lang="en-US" sz="1200" baseline="0">
              <a:solidFill>
                <a:schemeClr val="tx1"/>
              </a:solidFill>
              <a:latin typeface="Arial" panose="020B0604020202020204" pitchFamily="34" charset="0"/>
              <a:cs typeface="Arial" panose="020B0604020202020204" pitchFamily="34" charset="0"/>
            </a:rPr>
            <a:t>YELLOW</a:t>
          </a:r>
          <a:r>
            <a:rPr lang="en-US" sz="1200" baseline="0">
              <a:latin typeface="Arial" panose="020B0604020202020204" pitchFamily="34" charset="0"/>
              <a:cs typeface="Arial" panose="020B0604020202020204" pitchFamily="34" charset="0"/>
            </a:rPr>
            <a:t> --&gt; Interesting Output</a:t>
          </a:r>
        </a:p>
        <a:p>
          <a:pPr algn="l"/>
          <a:r>
            <a:rPr lang="en-US" sz="1200" baseline="0">
              <a:latin typeface="Arial" panose="020B0604020202020204" pitchFamily="34" charset="0"/>
              <a:cs typeface="Arial" panose="020B0604020202020204" pitchFamily="34" charset="0"/>
            </a:rPr>
            <a:t>WHITE --&gt; Calculations/default parameters</a:t>
          </a:r>
        </a:p>
        <a:p>
          <a:endParaRPr lang="en-US" sz="12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4A862-DDAC-472E-AAD7-53E21143C79E}">
  <sheetPr codeName="Sheet9"/>
  <dimension ref="A1:H29"/>
  <sheetViews>
    <sheetView zoomScale="85" zoomScaleNormal="85" workbookViewId="0">
      <selection activeCell="A5" sqref="A5:D5"/>
    </sheetView>
  </sheetViews>
  <sheetFormatPr defaultColWidth="8.85546875" defaultRowHeight="20.25" x14ac:dyDescent="0.3"/>
  <cols>
    <col min="1" max="7" width="8.85546875" style="158"/>
    <col min="8" max="8" width="13.28515625" style="158" customWidth="1"/>
    <col min="9" max="16384" width="8.85546875" style="158"/>
  </cols>
  <sheetData>
    <row r="1" spans="1:8" x14ac:dyDescent="0.3">
      <c r="A1" s="207" t="s">
        <v>0</v>
      </c>
      <c r="B1" s="208"/>
      <c r="C1" s="208"/>
      <c r="D1" s="208"/>
      <c r="E1" s="208"/>
      <c r="F1" s="208"/>
      <c r="G1" s="208"/>
      <c r="H1" s="209"/>
    </row>
    <row r="2" spans="1:8" x14ac:dyDescent="0.3">
      <c r="A2" s="210"/>
      <c r="B2" s="211"/>
      <c r="C2" s="211"/>
      <c r="D2" s="211"/>
      <c r="E2" s="211"/>
      <c r="F2" s="211"/>
      <c r="G2" s="211"/>
      <c r="H2" s="212"/>
    </row>
    <row r="3" spans="1:8" x14ac:dyDescent="0.3">
      <c r="A3" s="210"/>
      <c r="B3" s="211"/>
      <c r="C3" s="211"/>
      <c r="D3" s="211"/>
      <c r="E3" s="211"/>
      <c r="F3" s="211"/>
      <c r="G3" s="211"/>
      <c r="H3" s="212"/>
    </row>
    <row r="4" spans="1:8" ht="21" thickBot="1" x14ac:dyDescent="0.35">
      <c r="A4" s="213"/>
      <c r="B4" s="214"/>
      <c r="C4" s="214"/>
      <c r="D4" s="214"/>
      <c r="E4" s="214"/>
      <c r="F4" s="214"/>
      <c r="G4" s="214"/>
      <c r="H4" s="215"/>
    </row>
    <row r="5" spans="1:8" ht="21" thickBot="1" x14ac:dyDescent="0.35">
      <c r="A5" s="216" t="s">
        <v>1</v>
      </c>
      <c r="B5" s="217"/>
      <c r="C5" s="217"/>
      <c r="D5" s="218"/>
      <c r="E5" s="217" t="s">
        <v>2</v>
      </c>
      <c r="F5" s="217"/>
      <c r="G5" s="217"/>
      <c r="H5" s="219"/>
    </row>
    <row r="6" spans="1:8" x14ac:dyDescent="0.3">
      <c r="A6" s="220" t="s">
        <v>3</v>
      </c>
      <c r="B6" s="221"/>
      <c r="C6" s="221"/>
      <c r="D6" s="222"/>
      <c r="E6" s="203" t="s">
        <v>4</v>
      </c>
      <c r="F6" s="203"/>
      <c r="G6" s="203"/>
      <c r="H6" s="204"/>
    </row>
    <row r="7" spans="1:8" x14ac:dyDescent="0.3">
      <c r="A7" s="197"/>
      <c r="B7" s="198"/>
      <c r="C7" s="198"/>
      <c r="D7" s="199"/>
      <c r="E7" s="203"/>
      <c r="F7" s="203"/>
      <c r="G7" s="203"/>
      <c r="H7" s="204"/>
    </row>
    <row r="8" spans="1:8" x14ac:dyDescent="0.3">
      <c r="A8" s="197"/>
      <c r="B8" s="198"/>
      <c r="C8" s="198"/>
      <c r="D8" s="199"/>
      <c r="E8" s="203"/>
      <c r="F8" s="203"/>
      <c r="G8" s="203"/>
      <c r="H8" s="204"/>
    </row>
    <row r="9" spans="1:8" x14ac:dyDescent="0.3">
      <c r="A9" s="197" t="s">
        <v>5</v>
      </c>
      <c r="B9" s="198"/>
      <c r="C9" s="198"/>
      <c r="D9" s="199"/>
      <c r="E9" s="203" t="s">
        <v>6</v>
      </c>
      <c r="F9" s="203"/>
      <c r="G9" s="203"/>
      <c r="H9" s="204"/>
    </row>
    <row r="10" spans="1:8" x14ac:dyDescent="0.3">
      <c r="A10" s="197"/>
      <c r="B10" s="198"/>
      <c r="C10" s="198"/>
      <c r="D10" s="199"/>
      <c r="E10" s="203"/>
      <c r="F10" s="203"/>
      <c r="G10" s="203"/>
      <c r="H10" s="204"/>
    </row>
    <row r="11" spans="1:8" x14ac:dyDescent="0.3">
      <c r="A11" s="197"/>
      <c r="B11" s="198"/>
      <c r="C11" s="198"/>
      <c r="D11" s="199"/>
      <c r="E11" s="203"/>
      <c r="F11" s="203"/>
      <c r="G11" s="203"/>
      <c r="H11" s="204"/>
    </row>
    <row r="12" spans="1:8" x14ac:dyDescent="0.3">
      <c r="A12" s="197" t="s">
        <v>7</v>
      </c>
      <c r="B12" s="198"/>
      <c r="C12" s="198"/>
      <c r="D12" s="199"/>
      <c r="E12" s="203" t="s">
        <v>8</v>
      </c>
      <c r="F12" s="203"/>
      <c r="G12" s="203"/>
      <c r="H12" s="204"/>
    </row>
    <row r="13" spans="1:8" x14ac:dyDescent="0.3">
      <c r="A13" s="197"/>
      <c r="B13" s="198"/>
      <c r="C13" s="198"/>
      <c r="D13" s="199"/>
      <c r="E13" s="203"/>
      <c r="F13" s="203"/>
      <c r="G13" s="203"/>
      <c r="H13" s="204"/>
    </row>
    <row r="14" spans="1:8" x14ac:dyDescent="0.3">
      <c r="A14" s="197"/>
      <c r="B14" s="198"/>
      <c r="C14" s="198"/>
      <c r="D14" s="199"/>
      <c r="E14" s="203"/>
      <c r="F14" s="203"/>
      <c r="G14" s="203"/>
      <c r="H14" s="204"/>
    </row>
    <row r="15" spans="1:8" x14ac:dyDescent="0.3">
      <c r="A15" s="197" t="s">
        <v>9</v>
      </c>
      <c r="B15" s="198"/>
      <c r="C15" s="198"/>
      <c r="D15" s="199"/>
      <c r="E15" s="203" t="s">
        <v>10</v>
      </c>
      <c r="F15" s="203"/>
      <c r="G15" s="203"/>
      <c r="H15" s="204"/>
    </row>
    <row r="16" spans="1:8" x14ac:dyDescent="0.3">
      <c r="A16" s="197"/>
      <c r="B16" s="198"/>
      <c r="C16" s="198"/>
      <c r="D16" s="199"/>
      <c r="E16" s="203"/>
      <c r="F16" s="203"/>
      <c r="G16" s="203"/>
      <c r="H16" s="204"/>
    </row>
    <row r="17" spans="1:8" x14ac:dyDescent="0.3">
      <c r="A17" s="197"/>
      <c r="B17" s="198"/>
      <c r="C17" s="198"/>
      <c r="D17" s="199"/>
      <c r="E17" s="203"/>
      <c r="F17" s="203"/>
      <c r="G17" s="203"/>
      <c r="H17" s="204"/>
    </row>
    <row r="18" spans="1:8" x14ac:dyDescent="0.3">
      <c r="A18" s="197" t="s">
        <v>11</v>
      </c>
      <c r="B18" s="198"/>
      <c r="C18" s="198"/>
      <c r="D18" s="199"/>
      <c r="E18" s="203" t="s">
        <v>12</v>
      </c>
      <c r="F18" s="203"/>
      <c r="G18" s="203"/>
      <c r="H18" s="204"/>
    </row>
    <row r="19" spans="1:8" x14ac:dyDescent="0.3">
      <c r="A19" s="197"/>
      <c r="B19" s="198"/>
      <c r="C19" s="198"/>
      <c r="D19" s="199"/>
      <c r="E19" s="203"/>
      <c r="F19" s="203"/>
      <c r="G19" s="203"/>
      <c r="H19" s="204"/>
    </row>
    <row r="20" spans="1:8" x14ac:dyDescent="0.3">
      <c r="A20" s="197"/>
      <c r="B20" s="198"/>
      <c r="C20" s="198"/>
      <c r="D20" s="199"/>
      <c r="E20" s="203"/>
      <c r="F20" s="203"/>
      <c r="G20" s="203"/>
      <c r="H20" s="204"/>
    </row>
    <row r="21" spans="1:8" x14ac:dyDescent="0.3">
      <c r="A21" s="197" t="s">
        <v>13</v>
      </c>
      <c r="B21" s="198"/>
      <c r="C21" s="198"/>
      <c r="D21" s="199"/>
      <c r="E21" s="203" t="s">
        <v>14</v>
      </c>
      <c r="F21" s="203"/>
      <c r="G21" s="203"/>
      <c r="H21" s="204"/>
    </row>
    <row r="22" spans="1:8" x14ac:dyDescent="0.3">
      <c r="A22" s="197"/>
      <c r="B22" s="198"/>
      <c r="C22" s="198"/>
      <c r="D22" s="199"/>
      <c r="E22" s="203"/>
      <c r="F22" s="203"/>
      <c r="G22" s="203"/>
      <c r="H22" s="204"/>
    </row>
    <row r="23" spans="1:8" x14ac:dyDescent="0.3">
      <c r="A23" s="197"/>
      <c r="B23" s="198"/>
      <c r="C23" s="198"/>
      <c r="D23" s="199"/>
      <c r="E23" s="203"/>
      <c r="F23" s="203"/>
      <c r="G23" s="203"/>
      <c r="H23" s="204"/>
    </row>
    <row r="24" spans="1:8" x14ac:dyDescent="0.3">
      <c r="A24" s="197" t="s">
        <v>15</v>
      </c>
      <c r="B24" s="198"/>
      <c r="C24" s="198"/>
      <c r="D24" s="199"/>
      <c r="E24" s="203" t="s">
        <v>16</v>
      </c>
      <c r="F24" s="203"/>
      <c r="G24" s="203"/>
      <c r="H24" s="204"/>
    </row>
    <row r="25" spans="1:8" x14ac:dyDescent="0.3">
      <c r="A25" s="197"/>
      <c r="B25" s="198"/>
      <c r="C25" s="198"/>
      <c r="D25" s="199"/>
      <c r="E25" s="203"/>
      <c r="F25" s="203"/>
      <c r="G25" s="203"/>
      <c r="H25" s="204"/>
    </row>
    <row r="26" spans="1:8" x14ac:dyDescent="0.3">
      <c r="A26" s="197"/>
      <c r="B26" s="198"/>
      <c r="C26" s="198"/>
      <c r="D26" s="199"/>
      <c r="E26" s="203"/>
      <c r="F26" s="203"/>
      <c r="G26" s="203"/>
      <c r="H26" s="204"/>
    </row>
    <row r="27" spans="1:8" x14ac:dyDescent="0.3">
      <c r="A27" s="197" t="s">
        <v>17</v>
      </c>
      <c r="B27" s="198"/>
      <c r="C27" s="198"/>
      <c r="D27" s="199"/>
      <c r="E27" s="203" t="s">
        <v>18</v>
      </c>
      <c r="F27" s="203"/>
      <c r="G27" s="203"/>
      <c r="H27" s="204"/>
    </row>
    <row r="28" spans="1:8" x14ac:dyDescent="0.3">
      <c r="A28" s="197"/>
      <c r="B28" s="198"/>
      <c r="C28" s="198"/>
      <c r="D28" s="199"/>
      <c r="E28" s="203"/>
      <c r="F28" s="203"/>
      <c r="G28" s="203"/>
      <c r="H28" s="204"/>
    </row>
    <row r="29" spans="1:8" ht="21" thickBot="1" x14ac:dyDescent="0.35">
      <c r="A29" s="200"/>
      <c r="B29" s="201"/>
      <c r="C29" s="201"/>
      <c r="D29" s="202"/>
      <c r="E29" s="205"/>
      <c r="F29" s="205"/>
      <c r="G29" s="205"/>
      <c r="H29" s="206"/>
    </row>
  </sheetData>
  <sheetProtection algorithmName="SHA-512" hashValue="0x3jRv+tUt598///j9EMa7yHFWWNuIAokFxwjqJBBX9xKN9dhm6WDCVT8Aozmtl2Zn2f97kigwpMhm0fMsYDhA==" saltValue="eyZ85kU0WD9vigxBHbmlKg==" spinCount="100000" sheet="1" objects="1" scenarios="1"/>
  <mergeCells count="19">
    <mergeCell ref="A1:H4"/>
    <mergeCell ref="A5:D5"/>
    <mergeCell ref="E5:H5"/>
    <mergeCell ref="A6:D8"/>
    <mergeCell ref="E6:H8"/>
    <mergeCell ref="A9:D11"/>
    <mergeCell ref="E9:H11"/>
    <mergeCell ref="A12:D14"/>
    <mergeCell ref="E12:H14"/>
    <mergeCell ref="A15:D17"/>
    <mergeCell ref="E15:H17"/>
    <mergeCell ref="A27:D29"/>
    <mergeCell ref="E27:H29"/>
    <mergeCell ref="A18:D20"/>
    <mergeCell ref="E18:H20"/>
    <mergeCell ref="A21:D23"/>
    <mergeCell ref="E21:H23"/>
    <mergeCell ref="A24:D26"/>
    <mergeCell ref="E24:H2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E483-AABE-4E84-9013-55A360412F53}">
  <sheetPr codeName="Sheet5"/>
  <dimension ref="A1:M33"/>
  <sheetViews>
    <sheetView zoomScale="90" zoomScaleNormal="90" workbookViewId="0">
      <selection activeCell="K6" sqref="K6:K9"/>
    </sheetView>
  </sheetViews>
  <sheetFormatPr defaultColWidth="8.85546875" defaultRowHeight="15" x14ac:dyDescent="0.2"/>
  <cols>
    <col min="1" max="1" width="2.42578125" style="47" customWidth="1"/>
    <col min="2" max="2" width="3.28515625" style="47" customWidth="1"/>
    <col min="3" max="3" width="22.28515625" style="47" customWidth="1"/>
    <col min="4" max="4" width="8.85546875" style="47"/>
    <col min="5" max="5" width="21.28515625" style="47" customWidth="1"/>
    <col min="6" max="6" width="28.140625" style="47" customWidth="1"/>
    <col min="7" max="7" width="3" style="47" customWidth="1"/>
    <col min="8" max="8" width="25.7109375" style="47" customWidth="1"/>
    <col min="9" max="9" width="2.7109375" style="47" customWidth="1"/>
    <col min="10" max="10" width="46.28515625" style="47" customWidth="1"/>
    <col min="11" max="11" width="43.7109375" style="47" customWidth="1"/>
    <col min="12" max="12" width="4.5703125" style="47" customWidth="1"/>
    <col min="13" max="16384" width="8.85546875" style="47"/>
  </cols>
  <sheetData>
    <row r="1" spans="1:13" ht="16.5" thickBot="1" x14ac:dyDescent="0.25">
      <c r="A1" s="244" t="s">
        <v>19</v>
      </c>
      <c r="B1" s="244"/>
      <c r="C1" s="244"/>
      <c r="D1" s="244"/>
      <c r="E1" s="244"/>
      <c r="F1" s="244"/>
      <c r="G1" s="244"/>
      <c r="H1" s="244"/>
      <c r="I1" s="244"/>
      <c r="J1" s="244"/>
      <c r="K1" s="244"/>
      <c r="L1" s="244"/>
      <c r="M1" s="187"/>
    </row>
    <row r="2" spans="1:13" ht="16.5" thickBot="1" x14ac:dyDescent="0.25">
      <c r="A2" s="187"/>
      <c r="B2" s="19"/>
      <c r="C2" s="173"/>
      <c r="D2" s="245"/>
      <c r="E2" s="246"/>
      <c r="F2" s="246"/>
      <c r="G2" s="246"/>
      <c r="H2" s="246"/>
      <c r="I2" s="246"/>
      <c r="J2" s="246"/>
      <c r="K2" s="246"/>
      <c r="L2" s="20"/>
      <c r="M2" s="187"/>
    </row>
    <row r="3" spans="1:13" ht="14.45" customHeight="1" x14ac:dyDescent="0.2">
      <c r="A3" s="187"/>
      <c r="B3" s="21"/>
      <c r="C3" s="247" t="s">
        <v>20</v>
      </c>
      <c r="D3" s="248"/>
      <c r="E3" s="248"/>
      <c r="F3" s="248"/>
      <c r="G3" s="248"/>
      <c r="H3" s="249"/>
      <c r="I3" s="22"/>
      <c r="J3" s="259"/>
      <c r="K3" s="260"/>
      <c r="L3" s="23"/>
      <c r="M3" s="187"/>
    </row>
    <row r="4" spans="1:13" ht="31.15" customHeight="1" thickBot="1" x14ac:dyDescent="0.25">
      <c r="A4" s="187"/>
      <c r="B4" s="21"/>
      <c r="C4" s="250"/>
      <c r="D4" s="251"/>
      <c r="E4" s="251"/>
      <c r="F4" s="251"/>
      <c r="G4" s="251"/>
      <c r="H4" s="252"/>
      <c r="I4" s="24"/>
      <c r="J4" s="261"/>
      <c r="K4" s="262"/>
      <c r="L4" s="23"/>
      <c r="M4" s="187"/>
    </row>
    <row r="5" spans="1:13" ht="25.15" customHeight="1" thickBot="1" x14ac:dyDescent="0.25">
      <c r="A5" s="187"/>
      <c r="B5" s="21"/>
      <c r="C5" s="25"/>
      <c r="D5" s="174"/>
      <c r="E5" s="174"/>
      <c r="F5" s="174"/>
      <c r="G5" s="174"/>
      <c r="H5" s="174"/>
      <c r="I5" s="24"/>
      <c r="J5" s="18" t="s">
        <v>21</v>
      </c>
      <c r="K5" s="157"/>
      <c r="L5" s="23"/>
      <c r="M5" s="187"/>
    </row>
    <row r="6" spans="1:13" ht="15.75" x14ac:dyDescent="0.2">
      <c r="A6" s="187"/>
      <c r="B6" s="21"/>
      <c r="C6" s="25"/>
      <c r="D6" s="174"/>
      <c r="E6" s="174"/>
      <c r="F6" s="174"/>
      <c r="G6" s="174"/>
      <c r="H6" s="174"/>
      <c r="I6" s="24"/>
      <c r="J6" s="272" t="s">
        <v>22</v>
      </c>
      <c r="K6" s="275"/>
      <c r="L6" s="23"/>
      <c r="M6" s="187"/>
    </row>
    <row r="7" spans="1:13" ht="16.5" thickBot="1" x14ac:dyDescent="0.25">
      <c r="A7" s="187"/>
      <c r="B7" s="21"/>
      <c r="C7" s="25"/>
      <c r="D7" s="287" t="s">
        <v>23</v>
      </c>
      <c r="E7" s="287"/>
      <c r="F7" s="174" t="s">
        <v>24</v>
      </c>
      <c r="G7" s="174"/>
      <c r="H7" s="174"/>
      <c r="I7" s="24"/>
      <c r="J7" s="273"/>
      <c r="K7" s="276"/>
      <c r="L7" s="23"/>
      <c r="M7" s="187"/>
    </row>
    <row r="8" spans="1:13" x14ac:dyDescent="0.2">
      <c r="A8" s="187"/>
      <c r="B8" s="21"/>
      <c r="C8" s="180"/>
      <c r="D8" s="278">
        <v>30</v>
      </c>
      <c r="E8" s="279"/>
      <c r="F8" s="279">
        <v>40</v>
      </c>
      <c r="G8" s="284"/>
      <c r="H8" s="187"/>
      <c r="I8" s="24"/>
      <c r="J8" s="273"/>
      <c r="K8" s="276"/>
      <c r="L8" s="23"/>
      <c r="M8" s="187"/>
    </row>
    <row r="9" spans="1:13" ht="78.599999999999994" customHeight="1" thickBot="1" x14ac:dyDescent="0.25">
      <c r="A9" s="187"/>
      <c r="B9" s="21"/>
      <c r="C9" s="180"/>
      <c r="D9" s="280"/>
      <c r="E9" s="281"/>
      <c r="F9" s="281"/>
      <c r="G9" s="285"/>
      <c r="H9" s="187"/>
      <c r="I9" s="24"/>
      <c r="J9" s="274"/>
      <c r="K9" s="277"/>
      <c r="L9" s="23"/>
      <c r="M9" s="187"/>
    </row>
    <row r="10" spans="1:13" ht="18" customHeight="1" x14ac:dyDescent="0.2">
      <c r="A10" s="187"/>
      <c r="B10" s="21"/>
      <c r="C10" s="180"/>
      <c r="D10" s="280"/>
      <c r="E10" s="281"/>
      <c r="F10" s="281"/>
      <c r="G10" s="285"/>
      <c r="H10" s="187"/>
      <c r="I10" s="24"/>
      <c r="J10" s="269" t="s">
        <v>25</v>
      </c>
      <c r="K10" s="256"/>
      <c r="L10" s="23"/>
      <c r="M10" s="187"/>
    </row>
    <row r="11" spans="1:13" ht="5.45" customHeight="1" x14ac:dyDescent="0.2">
      <c r="A11" s="187"/>
      <c r="B11" s="21"/>
      <c r="C11" s="180"/>
      <c r="D11" s="280"/>
      <c r="E11" s="281"/>
      <c r="F11" s="281"/>
      <c r="G11" s="285"/>
      <c r="H11" s="187"/>
      <c r="I11" s="24"/>
      <c r="J11" s="270"/>
      <c r="K11" s="257"/>
      <c r="L11" s="23"/>
      <c r="M11" s="187"/>
    </row>
    <row r="12" spans="1:13" ht="18" customHeight="1" thickBot="1" x14ac:dyDescent="0.25">
      <c r="A12" s="187"/>
      <c r="B12" s="21"/>
      <c r="C12" s="180"/>
      <c r="D12" s="280"/>
      <c r="E12" s="281"/>
      <c r="F12" s="281"/>
      <c r="G12" s="285"/>
      <c r="H12" s="187"/>
      <c r="I12" s="24"/>
      <c r="J12" s="271"/>
      <c r="K12" s="258"/>
      <c r="L12" s="23"/>
      <c r="M12" s="187"/>
    </row>
    <row r="13" spans="1:13" ht="18.600000000000001" customHeight="1" thickBot="1" x14ac:dyDescent="0.25">
      <c r="A13" s="187"/>
      <c r="B13" s="21"/>
      <c r="C13" s="180"/>
      <c r="D13" s="282"/>
      <c r="E13" s="283"/>
      <c r="F13" s="283"/>
      <c r="G13" s="286"/>
      <c r="H13" s="187"/>
      <c r="I13" s="24"/>
      <c r="J13" s="266" t="s">
        <v>26</v>
      </c>
      <c r="K13" s="263" t="str">
        <f>IF(ISBLANK(J3),"",IF($K$10="TABOO","Any friendly frequency of such importance that it must never be deliberately jammed or interfered with by friendly forces (JP 3-85).",IF($K$10="PROTECTED","Friendly frequencies used for a particular operation, identified and protected for a period of time to prevent them from being inadvertently jammed by friendly (JP 3-85).",IF($K$10="GUARDED","A list of enemy frequencies that are being exploited for combat information and intelligence or jammed (JP 3-85).",IF($K$10="UNDEFINED","This frequency is listed on the JRFL but the frequency classification is not identified. This could be due to an input error or a locally-contributed restricted frequency.","This frequency is not found within the referenced JRFL.")))))</f>
        <v/>
      </c>
      <c r="L13" s="23"/>
      <c r="M13" s="187"/>
    </row>
    <row r="14" spans="1:13" x14ac:dyDescent="0.2">
      <c r="A14" s="187"/>
      <c r="B14" s="21"/>
      <c r="C14" s="180"/>
      <c r="D14" s="26"/>
      <c r="E14" s="187"/>
      <c r="F14" s="187"/>
      <c r="G14" s="187"/>
      <c r="H14" s="187"/>
      <c r="I14" s="24"/>
      <c r="J14" s="267"/>
      <c r="K14" s="264"/>
      <c r="L14" s="23"/>
      <c r="M14" s="187"/>
    </row>
    <row r="15" spans="1:13" x14ac:dyDescent="0.2">
      <c r="A15" s="187"/>
      <c r="B15" s="21"/>
      <c r="C15" s="180"/>
      <c r="D15" s="26"/>
      <c r="E15" s="187"/>
      <c r="F15" s="187"/>
      <c r="G15" s="187"/>
      <c r="H15" s="187"/>
      <c r="I15" s="24"/>
      <c r="J15" s="267"/>
      <c r="K15" s="264"/>
      <c r="L15" s="23"/>
      <c r="M15" s="187"/>
    </row>
    <row r="16" spans="1:13" x14ac:dyDescent="0.2">
      <c r="A16" s="187"/>
      <c r="B16" s="21"/>
      <c r="C16" s="180"/>
      <c r="D16" s="26"/>
      <c r="E16" s="187"/>
      <c r="F16" s="187"/>
      <c r="G16" s="187"/>
      <c r="H16" s="187"/>
      <c r="I16" s="24"/>
      <c r="J16" s="267"/>
      <c r="K16" s="264"/>
      <c r="L16" s="23"/>
      <c r="M16" s="187"/>
    </row>
    <row r="17" spans="1:13" ht="15.75" thickBot="1" x14ac:dyDescent="0.25">
      <c r="A17" s="187"/>
      <c r="B17" s="21"/>
      <c r="C17" s="180"/>
      <c r="D17" s="26"/>
      <c r="E17" s="187"/>
      <c r="F17" s="187"/>
      <c r="G17" s="187"/>
      <c r="H17" s="187"/>
      <c r="I17" s="27"/>
      <c r="J17" s="268"/>
      <c r="K17" s="265"/>
      <c r="L17" s="23"/>
      <c r="M17" s="187"/>
    </row>
    <row r="18" spans="1:13" ht="16.5" thickBot="1" x14ac:dyDescent="0.25">
      <c r="A18" s="187"/>
      <c r="B18" s="19"/>
      <c r="C18" s="28"/>
      <c r="D18" s="173"/>
      <c r="E18" s="173"/>
      <c r="F18" s="173"/>
      <c r="G18" s="29"/>
      <c r="H18" s="173"/>
      <c r="I18" s="29"/>
      <c r="J18" s="173"/>
      <c r="K18" s="173"/>
      <c r="L18" s="20"/>
      <c r="M18" s="187"/>
    </row>
    <row r="19" spans="1:13" ht="16.149999999999999" customHeight="1" thickBot="1" x14ac:dyDescent="0.25">
      <c r="A19" s="187"/>
      <c r="B19" s="21"/>
      <c r="C19" s="253" t="s">
        <v>27</v>
      </c>
      <c r="D19" s="254"/>
      <c r="E19" s="254"/>
      <c r="F19" s="255"/>
      <c r="G19" s="30"/>
      <c r="H19" s="93" t="s">
        <v>28</v>
      </c>
      <c r="I19" s="30"/>
      <c r="J19" s="288" t="s">
        <v>29</v>
      </c>
      <c r="K19" s="289"/>
      <c r="L19" s="23"/>
      <c r="M19" s="187"/>
    </row>
    <row r="20" spans="1:13" ht="16.149999999999999" customHeight="1" thickBot="1" x14ac:dyDescent="0.25">
      <c r="A20" s="187"/>
      <c r="B20" s="21"/>
      <c r="C20" s="223"/>
      <c r="D20" s="231"/>
      <c r="E20" s="231"/>
      <c r="F20" s="224"/>
      <c r="G20" s="31"/>
      <c r="H20" s="241"/>
      <c r="I20" s="31"/>
      <c r="J20" s="223"/>
      <c r="K20" s="224"/>
      <c r="L20" s="23"/>
      <c r="M20" s="187"/>
    </row>
    <row r="21" spans="1:13" ht="16.149999999999999" customHeight="1" x14ac:dyDescent="0.2">
      <c r="A21" s="187"/>
      <c r="B21" s="21"/>
      <c r="C21" s="232"/>
      <c r="D21" s="233"/>
      <c r="E21" s="233"/>
      <c r="F21" s="234"/>
      <c r="G21" s="29"/>
      <c r="H21" s="242"/>
      <c r="I21" s="32"/>
      <c r="J21" s="225"/>
      <c r="K21" s="226"/>
      <c r="L21" s="23"/>
      <c r="M21" s="187"/>
    </row>
    <row r="22" spans="1:13" ht="16.149999999999999" customHeight="1" thickBot="1" x14ac:dyDescent="0.25">
      <c r="A22" s="187"/>
      <c r="B22" s="21"/>
      <c r="C22" s="235"/>
      <c r="D22" s="236"/>
      <c r="E22" s="236"/>
      <c r="F22" s="237"/>
      <c r="G22" s="30"/>
      <c r="H22" s="242"/>
      <c r="I22" s="33"/>
      <c r="J22" s="227"/>
      <c r="K22" s="228"/>
      <c r="L22" s="23"/>
      <c r="M22" s="187"/>
    </row>
    <row r="23" spans="1:13" ht="15.6" customHeight="1" x14ac:dyDescent="0.2">
      <c r="A23" s="187"/>
      <c r="B23" s="21"/>
      <c r="C23" s="235"/>
      <c r="D23" s="236"/>
      <c r="E23" s="236"/>
      <c r="F23" s="237"/>
      <c r="G23" s="34"/>
      <c r="H23" s="242"/>
      <c r="I23" s="35"/>
      <c r="J23" s="227"/>
      <c r="K23" s="228"/>
      <c r="L23" s="23"/>
      <c r="M23" s="187"/>
    </row>
    <row r="24" spans="1:13" ht="16.149999999999999" customHeight="1" x14ac:dyDescent="0.2">
      <c r="A24" s="187"/>
      <c r="B24" s="21"/>
      <c r="C24" s="235"/>
      <c r="D24" s="236"/>
      <c r="E24" s="236"/>
      <c r="F24" s="237"/>
      <c r="G24" s="36"/>
      <c r="H24" s="242"/>
      <c r="I24" s="37"/>
      <c r="J24" s="227"/>
      <c r="K24" s="228"/>
      <c r="L24" s="23"/>
      <c r="M24" s="187"/>
    </row>
    <row r="25" spans="1:13" ht="15.6" customHeight="1" x14ac:dyDescent="0.2">
      <c r="A25" s="187"/>
      <c r="B25" s="21"/>
      <c r="C25" s="235"/>
      <c r="D25" s="236"/>
      <c r="E25" s="236"/>
      <c r="F25" s="237"/>
      <c r="G25" s="36"/>
      <c r="H25" s="242"/>
      <c r="I25" s="37"/>
      <c r="J25" s="227"/>
      <c r="K25" s="228"/>
      <c r="L25" s="23"/>
      <c r="M25" s="187"/>
    </row>
    <row r="26" spans="1:13" ht="15" customHeight="1" x14ac:dyDescent="0.2">
      <c r="A26" s="187"/>
      <c r="B26" s="21"/>
      <c r="C26" s="235"/>
      <c r="D26" s="236"/>
      <c r="E26" s="236"/>
      <c r="F26" s="237"/>
      <c r="G26" s="38"/>
      <c r="H26" s="242"/>
      <c r="I26" s="39"/>
      <c r="J26" s="227"/>
      <c r="K26" s="228"/>
      <c r="L26" s="23"/>
      <c r="M26" s="187"/>
    </row>
    <row r="27" spans="1:13" ht="15.6" customHeight="1" x14ac:dyDescent="0.2">
      <c r="A27" s="187"/>
      <c r="B27" s="21"/>
      <c r="C27" s="235"/>
      <c r="D27" s="236"/>
      <c r="E27" s="236"/>
      <c r="F27" s="237"/>
      <c r="G27" s="36"/>
      <c r="H27" s="242"/>
      <c r="I27" s="37"/>
      <c r="J27" s="227"/>
      <c r="K27" s="228"/>
      <c r="L27" s="23"/>
      <c r="M27" s="187"/>
    </row>
    <row r="28" spans="1:13" ht="15.6" customHeight="1" x14ac:dyDescent="0.2">
      <c r="A28" s="187"/>
      <c r="B28" s="21"/>
      <c r="C28" s="235"/>
      <c r="D28" s="236"/>
      <c r="E28" s="236"/>
      <c r="F28" s="237"/>
      <c r="G28" s="36"/>
      <c r="H28" s="242"/>
      <c r="I28" s="37"/>
      <c r="J28" s="227"/>
      <c r="K28" s="228"/>
      <c r="L28" s="23"/>
      <c r="M28" s="187"/>
    </row>
    <row r="29" spans="1:13" ht="15.6" customHeight="1" thickBot="1" x14ac:dyDescent="0.25">
      <c r="A29" s="187"/>
      <c r="B29" s="21"/>
      <c r="C29" s="235"/>
      <c r="D29" s="236"/>
      <c r="E29" s="236"/>
      <c r="F29" s="237"/>
      <c r="G29" s="40"/>
      <c r="H29" s="242"/>
      <c r="I29" s="41"/>
      <c r="J29" s="227"/>
      <c r="K29" s="228"/>
      <c r="L29" s="23"/>
      <c r="M29" s="187"/>
    </row>
    <row r="30" spans="1:13" ht="15.75" x14ac:dyDescent="0.2">
      <c r="A30" s="187"/>
      <c r="B30" s="21"/>
      <c r="C30" s="235"/>
      <c r="D30" s="236"/>
      <c r="E30" s="236"/>
      <c r="F30" s="237"/>
      <c r="G30" s="172"/>
      <c r="H30" s="242"/>
      <c r="I30" s="172"/>
      <c r="J30" s="227"/>
      <c r="K30" s="228"/>
      <c r="L30" s="23"/>
      <c r="M30" s="187"/>
    </row>
    <row r="31" spans="1:13" ht="15.6" customHeight="1" thickBot="1" x14ac:dyDescent="0.25">
      <c r="A31" s="187"/>
      <c r="B31" s="41"/>
      <c r="C31" s="238"/>
      <c r="D31" s="239"/>
      <c r="E31" s="239"/>
      <c r="F31" s="240"/>
      <c r="G31" s="42"/>
      <c r="H31" s="243"/>
      <c r="I31" s="42"/>
      <c r="J31" s="229"/>
      <c r="K31" s="230"/>
      <c r="L31" s="23"/>
      <c r="M31" s="187"/>
    </row>
    <row r="32" spans="1:13" ht="16.5" thickBot="1" x14ac:dyDescent="0.25">
      <c r="A32" s="187"/>
      <c r="B32" s="41"/>
      <c r="C32" s="42"/>
      <c r="D32" s="43"/>
      <c r="E32" s="43"/>
      <c r="F32" s="43"/>
      <c r="G32" s="42"/>
      <c r="H32" s="44"/>
      <c r="I32" s="42"/>
      <c r="J32" s="42"/>
      <c r="K32" s="42"/>
      <c r="L32" s="45"/>
      <c r="M32" s="187"/>
    </row>
    <row r="33" spans="1:13" ht="15.75" x14ac:dyDescent="0.2">
      <c r="A33" s="244" t="s">
        <v>19</v>
      </c>
      <c r="B33" s="244"/>
      <c r="C33" s="244"/>
      <c r="D33" s="244"/>
      <c r="E33" s="244"/>
      <c r="F33" s="244"/>
      <c r="G33" s="244"/>
      <c r="H33" s="244"/>
      <c r="I33" s="244"/>
      <c r="J33" s="244"/>
      <c r="K33" s="244"/>
      <c r="L33" s="244"/>
      <c r="M33" s="244"/>
    </row>
  </sheetData>
  <mergeCells count="21">
    <mergeCell ref="A33:M33"/>
    <mergeCell ref="A1:L1"/>
    <mergeCell ref="D2:K2"/>
    <mergeCell ref="C3:H4"/>
    <mergeCell ref="C19:F19"/>
    <mergeCell ref="K10:K12"/>
    <mergeCell ref="J3:K4"/>
    <mergeCell ref="K13:K17"/>
    <mergeCell ref="J13:J17"/>
    <mergeCell ref="J10:J12"/>
    <mergeCell ref="J6:J9"/>
    <mergeCell ref="K6:K9"/>
    <mergeCell ref="D8:E13"/>
    <mergeCell ref="F8:G13"/>
    <mergeCell ref="D7:E7"/>
    <mergeCell ref="J19:K19"/>
    <mergeCell ref="J20:K20"/>
    <mergeCell ref="J21:K31"/>
    <mergeCell ref="C20:F20"/>
    <mergeCell ref="C21:F31"/>
    <mergeCell ref="H20:H31"/>
  </mergeCells>
  <conditionalFormatting sqref="G20 G29">
    <cfRule type="containsText" dxfId="16" priority="38" operator="containsText" text="NO">
      <formula>NOT(ISERROR(SEARCH("NO",G20)))</formula>
    </cfRule>
    <cfRule type="containsText" dxfId="15" priority="39" operator="containsText" text="YES">
      <formula>NOT(ISERROR(SEARCH("YES",G20)))</formula>
    </cfRule>
  </conditionalFormatting>
  <conditionalFormatting sqref="I20 I29">
    <cfRule type="containsText" dxfId="14" priority="20" operator="containsText" text="NO">
      <formula>NOT(ISERROR(SEARCH("NO",I20)))</formula>
    </cfRule>
    <cfRule type="containsText" dxfId="13" priority="21" operator="containsText" text="YES">
      <formula>NOT(ISERROR(SEARCH("YES",I20)))</formula>
    </cfRule>
  </conditionalFormatting>
  <conditionalFormatting sqref="J3">
    <cfRule type="cellIs" dxfId="12" priority="9" operator="equal">
      <formula>"No JRFL Conflicts"</formula>
    </cfRule>
    <cfRule type="cellIs" dxfId="11" priority="10" operator="equal">
      <formula>"CONFLICT WITH JRFL"</formula>
    </cfRule>
  </conditionalFormatting>
  <conditionalFormatting sqref="C20 J20">
    <cfRule type="containsText" dxfId="10" priority="7" stopIfTrue="1" operator="containsText" text="NO">
      <formula>NOT(ISERROR(SEARCH("NO",C20)))</formula>
    </cfRule>
  </conditionalFormatting>
  <dataValidations count="1">
    <dataValidation type="decimal" errorStyle="information" operator="greaterThanOrEqual" allowBlank="1" showInputMessage="1" showErrorMessage="1" errorTitle="Frequency Range Error" error="The Upper Frequency is less than the Lower Frequency" prompt="Input a frequency greater than or equal to the lower frequency" sqref="F8:G13" xr:uid="{E04C0B20-282D-4557-85EC-16DA59C6777F}">
      <formula1>D8</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JRFL_Check">
                <anchor moveWithCells="1" sizeWithCells="1">
                  <from>
                    <xdr:col>7</xdr:col>
                    <xdr:colOff>19050</xdr:colOff>
                    <xdr:row>19</xdr:row>
                    <xdr:rowOff>19050</xdr:rowOff>
                  </from>
                  <to>
                    <xdr:col>7</xdr:col>
                    <xdr:colOff>1771650</xdr:colOff>
                    <xdr:row>24</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Clear">
                <anchor moveWithCells="1" sizeWithCells="1">
                  <from>
                    <xdr:col>7</xdr:col>
                    <xdr:colOff>9525</xdr:colOff>
                    <xdr:row>24</xdr:row>
                    <xdr:rowOff>171450</xdr:rowOff>
                  </from>
                  <to>
                    <xdr:col>7</xdr:col>
                    <xdr:colOff>1762125</xdr:colOff>
                    <xdr:row>31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4" operator="containsText" id="{97E5B64A-97F9-4279-8A69-D1EA96DE530E}">
            <xm:f>NOT(ISERROR(SEARCH("POSSIBLE CONFLICT",C20)))</xm:f>
            <xm:f>"POSSIBLE CONFLICT"</xm:f>
            <x14:dxf>
              <fill>
                <patternFill>
                  <bgColor rgb="FFFF6565"/>
                </patternFill>
              </fill>
            </x14:dxf>
          </x14:cfRule>
          <xm:sqref>C20 J20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7739-9973-4A0A-98F8-C70BC8D261DD}">
  <sheetPr codeName="Sheet1"/>
  <dimension ref="A1:Q41"/>
  <sheetViews>
    <sheetView tabSelected="1" zoomScale="80" zoomScaleNormal="80" zoomScaleSheetLayoutView="50" workbookViewId="0">
      <selection activeCell="I15" sqref="I15:I16"/>
    </sheetView>
  </sheetViews>
  <sheetFormatPr defaultColWidth="15" defaultRowHeight="15" x14ac:dyDescent="0.25"/>
  <cols>
    <col min="1" max="1" width="19.28515625" style="1" customWidth="1"/>
    <col min="2" max="2" width="15" style="1"/>
    <col min="3" max="3" width="23" style="1" customWidth="1"/>
    <col min="4" max="4" width="15" style="1"/>
    <col min="5" max="5" width="16.140625" style="1" customWidth="1"/>
    <col min="6" max="6" width="15" style="1"/>
    <col min="7" max="7" width="18.140625" style="1" customWidth="1"/>
    <col min="8" max="8" width="19.7109375" style="1" customWidth="1"/>
    <col min="9" max="9" width="38" style="1" bestFit="1" customWidth="1"/>
    <col min="10" max="16384" width="15" style="1"/>
  </cols>
  <sheetData>
    <row r="1" spans="1:12" ht="16.149999999999999" customHeight="1" thickBot="1" x14ac:dyDescent="0.3">
      <c r="A1" s="354" t="s">
        <v>19</v>
      </c>
      <c r="B1" s="355"/>
      <c r="C1" s="355"/>
      <c r="D1" s="355"/>
      <c r="E1" s="355"/>
      <c r="F1" s="355"/>
      <c r="G1" s="355"/>
      <c r="H1" s="355"/>
      <c r="I1" s="355"/>
      <c r="J1" s="356"/>
      <c r="K1" s="48"/>
      <c r="L1" s="48"/>
    </row>
    <row r="2" spans="1:12" ht="25.9" customHeight="1" thickBot="1" x14ac:dyDescent="0.3">
      <c r="A2" s="328" t="s">
        <v>30</v>
      </c>
      <c r="B2" s="329"/>
      <c r="C2" s="178"/>
      <c r="D2" s="328" t="s">
        <v>31</v>
      </c>
      <c r="E2" s="329"/>
      <c r="F2" s="189"/>
      <c r="G2" s="363" t="s">
        <v>32</v>
      </c>
      <c r="H2" s="364"/>
      <c r="I2" s="365"/>
      <c r="J2" s="2"/>
      <c r="K2" s="187"/>
      <c r="L2" s="187"/>
    </row>
    <row r="3" spans="1:12" ht="15.6" customHeight="1" x14ac:dyDescent="0.25">
      <c r="A3" s="300" t="s">
        <v>33</v>
      </c>
      <c r="B3" s="301"/>
      <c r="C3" s="189"/>
      <c r="D3" s="320" t="s">
        <v>34</v>
      </c>
      <c r="E3" s="321"/>
      <c r="F3" s="189"/>
      <c r="G3" s="336" t="s">
        <v>35</v>
      </c>
      <c r="H3" s="332">
        <f>MIN(IF($D$8&lt;$A$16,$D$14,10^(($D$4+($A$6-2.15)-32.4-(10*$D$16*LOG10($A$10))+($A$14-2.15)-$D$8)/(10*$D$16))),$D$10)</f>
        <v>2.5413236785148641</v>
      </c>
      <c r="I3" s="333"/>
      <c r="J3" s="2"/>
      <c r="K3" s="187"/>
      <c r="L3" s="187"/>
    </row>
    <row r="4" spans="1:12" ht="15" customHeight="1" thickBot="1" x14ac:dyDescent="0.3">
      <c r="A4" s="346">
        <v>5</v>
      </c>
      <c r="B4" s="347"/>
      <c r="C4" s="9"/>
      <c r="D4" s="318">
        <f xml:space="preserve"> 10 *LOG10(1000*$A$4)</f>
        <v>36.989700043360187</v>
      </c>
      <c r="E4" s="319"/>
      <c r="F4" s="189"/>
      <c r="G4" s="337"/>
      <c r="H4" s="334"/>
      <c r="I4" s="335"/>
      <c r="J4" s="2"/>
      <c r="K4" s="187"/>
      <c r="L4" s="187"/>
    </row>
    <row r="5" spans="1:12" ht="15.6" customHeight="1" x14ac:dyDescent="0.25">
      <c r="A5" s="300" t="s">
        <v>36</v>
      </c>
      <c r="B5" s="301"/>
      <c r="C5" s="189"/>
      <c r="D5" s="320" t="s">
        <v>37</v>
      </c>
      <c r="E5" s="321"/>
      <c r="F5" s="189"/>
      <c r="G5" s="337"/>
      <c r="H5" s="334"/>
      <c r="I5" s="335"/>
      <c r="J5" s="2"/>
      <c r="K5" s="187"/>
      <c r="L5" s="187"/>
    </row>
    <row r="6" spans="1:12" ht="15" customHeight="1" thickBot="1" x14ac:dyDescent="0.3">
      <c r="A6" s="350">
        <v>0</v>
      </c>
      <c r="B6" s="351"/>
      <c r="C6" s="194"/>
      <c r="D6" s="344">
        <f>($A$20-32)*(5/9)</f>
        <v>26.666666666666668</v>
      </c>
      <c r="E6" s="345"/>
      <c r="F6" s="156"/>
      <c r="G6" s="338"/>
      <c r="H6" s="334"/>
      <c r="I6" s="335"/>
      <c r="J6" s="2"/>
      <c r="K6" s="187"/>
      <c r="L6" s="187"/>
    </row>
    <row r="7" spans="1:12" ht="15.6" customHeight="1" x14ac:dyDescent="0.25">
      <c r="A7" s="300" t="s">
        <v>38</v>
      </c>
      <c r="B7" s="301"/>
      <c r="C7" s="194"/>
      <c r="D7" s="320" t="s">
        <v>39</v>
      </c>
      <c r="E7" s="321"/>
      <c r="F7" s="189"/>
      <c r="G7" s="339" t="s">
        <v>40</v>
      </c>
      <c r="H7" s="332">
        <f>MIN(IF($D$8&lt;$A$16,$D$14,10^(($D$4+($A$6-2.15)-32.4-(10*$D$16*LOG10($A$10))+($A$14-2.15)-$D$8)/(10*$D$16))),$D$12)</f>
        <v>2.5413236785148641</v>
      </c>
      <c r="I7" s="333"/>
      <c r="J7" s="2"/>
      <c r="K7" s="187"/>
      <c r="L7" s="187"/>
    </row>
    <row r="8" spans="1:12" ht="15" customHeight="1" thickBot="1" x14ac:dyDescent="0.3">
      <c r="A8" s="359">
        <v>1.5</v>
      </c>
      <c r="B8" s="360"/>
      <c r="C8" s="194"/>
      <c r="D8" s="318">
        <f>10*LOG10(1000*(273.15+D6)*(A12*1000)*(1.38064852*10^(-23)))</f>
        <v>-129.85121088229585</v>
      </c>
      <c r="E8" s="319"/>
      <c r="F8" s="189"/>
      <c r="G8" s="340"/>
      <c r="H8" s="334"/>
      <c r="I8" s="335"/>
      <c r="J8" s="2"/>
      <c r="K8" s="187"/>
      <c r="L8" s="187"/>
    </row>
    <row r="9" spans="1:12" ht="36" customHeight="1" thickBot="1" x14ac:dyDescent="0.3">
      <c r="A9" s="300" t="s">
        <v>41</v>
      </c>
      <c r="B9" s="301"/>
      <c r="C9" s="189"/>
      <c r="D9" s="324" t="s">
        <v>42</v>
      </c>
      <c r="E9" s="325"/>
      <c r="F9" s="189"/>
      <c r="G9" s="341"/>
      <c r="H9" s="342"/>
      <c r="I9" s="343"/>
      <c r="J9" s="2"/>
      <c r="K9" s="187"/>
      <c r="L9" s="187"/>
    </row>
    <row r="10" spans="1:12" ht="26.45" customHeight="1" thickBot="1" x14ac:dyDescent="0.3">
      <c r="A10" s="352">
        <v>225</v>
      </c>
      <c r="B10" s="353"/>
      <c r="C10" s="4"/>
      <c r="D10" s="322">
        <f>(SQRT(2*6371000*A18+A18^2)/1000)+(SQRT(2*6371000*A8+A8^2)/1000)</f>
        <v>8.7436839489999869</v>
      </c>
      <c r="E10" s="323"/>
      <c r="F10" s="189"/>
      <c r="G10" s="330" t="s">
        <v>43</v>
      </c>
      <c r="H10" s="331"/>
      <c r="I10" s="16" t="str">
        <f>IF($H$3=$D$10,"Earth Curvature","Transmitter Power Output")</f>
        <v>Transmitter Power Output</v>
      </c>
      <c r="J10" s="2"/>
      <c r="K10" s="187"/>
      <c r="L10" s="187"/>
    </row>
    <row r="11" spans="1:12" ht="31.15" customHeight="1" thickBot="1" x14ac:dyDescent="0.3">
      <c r="A11" s="300" t="s">
        <v>44</v>
      </c>
      <c r="B11" s="301"/>
      <c r="C11" s="4"/>
      <c r="D11" s="324" t="s">
        <v>45</v>
      </c>
      <c r="E11" s="325"/>
      <c r="F11" s="189"/>
      <c r="G11" s="326" t="s">
        <v>46</v>
      </c>
      <c r="H11" s="327"/>
      <c r="I11" s="16" t="str">
        <f>IF($I$10="Earth Curvature","Increase Transmitter/Receiver Height","Increase Transmitter Power")</f>
        <v>Increase Transmitter Power</v>
      </c>
      <c r="J11" s="2"/>
      <c r="K11" s="187"/>
      <c r="L11" s="187"/>
    </row>
    <row r="12" spans="1:12" ht="15.75" thickBot="1" x14ac:dyDescent="0.3">
      <c r="A12" s="348">
        <v>25</v>
      </c>
      <c r="B12" s="349"/>
      <c r="C12" s="4"/>
      <c r="D12" s="322">
        <f>(SQRT(2*($D$18)*6371000*A18+A20^2)/1000)+(SQRT(2*($D$18)*6371000*A8+A10^2)/1000)</f>
        <v>10.101981530095696</v>
      </c>
      <c r="E12" s="323"/>
      <c r="F12" s="189"/>
      <c r="G12" s="189"/>
      <c r="H12" s="189"/>
      <c r="I12" s="189"/>
      <c r="J12" s="2"/>
      <c r="K12" s="187"/>
      <c r="L12" s="187"/>
    </row>
    <row r="13" spans="1:12" x14ac:dyDescent="0.25">
      <c r="A13" s="300" t="s">
        <v>47</v>
      </c>
      <c r="B13" s="301"/>
      <c r="C13" s="189"/>
      <c r="D13" s="320" t="s">
        <v>48</v>
      </c>
      <c r="E13" s="321"/>
      <c r="F13" s="189"/>
      <c r="G13" s="189"/>
      <c r="H13" s="189"/>
      <c r="I13" s="189"/>
      <c r="J13" s="2"/>
      <c r="K13" s="187"/>
      <c r="L13" s="187"/>
    </row>
    <row r="14" spans="1:12" ht="15.75" thickBot="1" x14ac:dyDescent="0.3">
      <c r="A14" s="350">
        <v>0</v>
      </c>
      <c r="B14" s="351"/>
      <c r="C14" s="194"/>
      <c r="D14" s="322">
        <f>10^(($D$4+($A$6-2.15)-32.4-(10*$D$16*LOG10($A$10))+($A$14-2.15)-$A$16)/(10*$D$16))</f>
        <v>2.5413236785148641</v>
      </c>
      <c r="E14" s="323"/>
      <c r="F14" s="189"/>
      <c r="G14" s="189"/>
      <c r="H14" s="189"/>
      <c r="I14" s="189"/>
      <c r="J14" s="2"/>
      <c r="K14" s="187"/>
      <c r="L14" s="187"/>
    </row>
    <row r="15" spans="1:12" x14ac:dyDescent="0.25">
      <c r="A15" s="300" t="s">
        <v>49</v>
      </c>
      <c r="B15" s="301"/>
      <c r="C15" s="189"/>
      <c r="D15" s="320" t="s">
        <v>50</v>
      </c>
      <c r="E15" s="321"/>
      <c r="F15" s="189"/>
      <c r="G15" s="312" t="s">
        <v>51</v>
      </c>
      <c r="H15" s="313"/>
      <c r="I15" s="316" t="s">
        <v>2067</v>
      </c>
      <c r="J15" s="2"/>
      <c r="K15" s="187"/>
      <c r="L15" s="187"/>
    </row>
    <row r="16" spans="1:12" ht="15.75" thickBot="1" x14ac:dyDescent="0.3">
      <c r="A16" s="361">
        <v>-110</v>
      </c>
      <c r="B16" s="362"/>
      <c r="C16" s="193"/>
      <c r="D16" s="357">
        <f>IF($I$15="Free Space (Theoretical)",2,IF($I$15="Open (Unrestricted)",3,IF($I$15="Moderate Foliage (Restricted)",4,IF($I$15="Dense Foliage (Severely Restricted)",5,2))))</f>
        <v>4</v>
      </c>
      <c r="E16" s="358"/>
      <c r="F16" s="189"/>
      <c r="G16" s="314"/>
      <c r="H16" s="315"/>
      <c r="I16" s="317"/>
      <c r="J16" s="2"/>
      <c r="K16" s="187"/>
      <c r="L16" s="187"/>
    </row>
    <row r="17" spans="1:17" x14ac:dyDescent="0.25">
      <c r="A17" s="300" t="s">
        <v>52</v>
      </c>
      <c r="B17" s="301"/>
      <c r="C17" s="193"/>
      <c r="D17" s="320" t="s">
        <v>53</v>
      </c>
      <c r="E17" s="321"/>
      <c r="F17" s="189"/>
      <c r="G17" s="312" t="s">
        <v>54</v>
      </c>
      <c r="H17" s="313"/>
      <c r="I17" s="316" t="s">
        <v>55</v>
      </c>
      <c r="J17" s="2"/>
      <c r="K17" s="187"/>
      <c r="L17" s="187"/>
      <c r="M17" s="187"/>
      <c r="N17" s="187"/>
      <c r="O17" s="187"/>
      <c r="P17" s="187"/>
      <c r="Q17" s="187" t="s">
        <v>56</v>
      </c>
    </row>
    <row r="18" spans="1:17" ht="15.75" thickBot="1" x14ac:dyDescent="0.3">
      <c r="A18" s="359">
        <v>1.5</v>
      </c>
      <c r="B18" s="360"/>
      <c r="C18" s="193"/>
      <c r="D18" s="310">
        <f>IF(A10&lt;1000,4/3,IF($I$17="Normal Weather Conditions",4/3,IF($I$17="Stormy Weather",1.1,IF($I$17="Extreme Weather Conditions",0.9,4/3))))</f>
        <v>1.3333333333333333</v>
      </c>
      <c r="E18" s="311"/>
      <c r="F18" s="189"/>
      <c r="G18" s="314"/>
      <c r="H18" s="315"/>
      <c r="I18" s="317"/>
      <c r="J18" s="2"/>
      <c r="K18" s="187"/>
      <c r="L18" s="187"/>
      <c r="M18" s="187"/>
      <c r="N18" s="187"/>
      <c r="O18" s="187"/>
      <c r="P18" s="187"/>
      <c r="Q18" s="187"/>
    </row>
    <row r="19" spans="1:17" x14ac:dyDescent="0.25">
      <c r="A19" s="300" t="s">
        <v>57</v>
      </c>
      <c r="B19" s="301"/>
      <c r="C19" s="189"/>
      <c r="D19" s="189"/>
      <c r="E19" s="189"/>
      <c r="F19" s="189"/>
      <c r="G19" s="189"/>
      <c r="H19" s="189"/>
      <c r="I19" s="189"/>
      <c r="J19" s="2"/>
      <c r="K19" s="187"/>
      <c r="L19" s="169"/>
      <c r="M19" s="187"/>
      <c r="N19" s="187"/>
      <c r="O19" s="187"/>
      <c r="P19" s="187"/>
      <c r="Q19" s="187"/>
    </row>
    <row r="20" spans="1:17" ht="15.75" thickBot="1" x14ac:dyDescent="0.3">
      <c r="A20" s="302">
        <v>80</v>
      </c>
      <c r="B20" s="303"/>
      <c r="C20" s="189"/>
      <c r="D20" s="189"/>
      <c r="E20" s="189"/>
      <c r="F20" s="189"/>
      <c r="G20" s="189"/>
      <c r="H20" s="189"/>
      <c r="I20" s="189"/>
      <c r="J20" s="2"/>
      <c r="K20" s="187"/>
      <c r="L20" s="187"/>
      <c r="M20" s="187"/>
      <c r="N20" s="187"/>
      <c r="O20" s="187"/>
      <c r="P20" s="187"/>
      <c r="Q20" s="187"/>
    </row>
    <row r="21" spans="1:17" ht="15.75" thickBot="1" x14ac:dyDescent="0.3">
      <c r="A21" s="189"/>
      <c r="B21" s="189"/>
      <c r="C21" s="189"/>
      <c r="D21" s="307" t="s">
        <v>58</v>
      </c>
      <c r="E21" s="308"/>
      <c r="F21" s="308"/>
      <c r="G21" s="308"/>
      <c r="H21" s="308"/>
      <c r="I21" s="308"/>
      <c r="J21" s="309"/>
      <c r="K21" s="187"/>
      <c r="L21" s="187"/>
      <c r="M21" s="187"/>
      <c r="N21" s="187"/>
      <c r="O21" s="187"/>
      <c r="P21" s="187"/>
      <c r="Q21" s="187"/>
    </row>
    <row r="22" spans="1:17" x14ac:dyDescent="0.25">
      <c r="A22" s="189"/>
      <c r="B22" s="189"/>
      <c r="C22" s="189"/>
      <c r="D22" s="304" t="s">
        <v>59</v>
      </c>
      <c r="E22" s="305"/>
      <c r="F22" s="305"/>
      <c r="G22" s="305"/>
      <c r="H22" s="305"/>
      <c r="I22" s="305"/>
      <c r="J22" s="306"/>
      <c r="K22" s="187"/>
      <c r="L22" s="187"/>
      <c r="M22" s="187"/>
      <c r="N22" s="187"/>
      <c r="O22" s="187"/>
      <c r="P22" s="187"/>
      <c r="Q22" s="187"/>
    </row>
    <row r="23" spans="1:17" x14ac:dyDescent="0.25">
      <c r="A23" s="189"/>
      <c r="B23" s="189"/>
      <c r="C23" s="189"/>
      <c r="D23" s="297" t="s">
        <v>60</v>
      </c>
      <c r="E23" s="298"/>
      <c r="F23" s="298"/>
      <c r="G23" s="298"/>
      <c r="H23" s="298"/>
      <c r="I23" s="298"/>
      <c r="J23" s="299"/>
      <c r="K23" s="187"/>
      <c r="L23" s="187"/>
      <c r="M23" s="187"/>
      <c r="N23" s="187"/>
      <c r="O23" s="187"/>
      <c r="P23" s="187"/>
      <c r="Q23" s="187"/>
    </row>
    <row r="24" spans="1:17" ht="15.75" thickBot="1" x14ac:dyDescent="0.3">
      <c r="A24" s="189"/>
      <c r="B24" s="189"/>
      <c r="C24" s="189"/>
      <c r="D24" s="297" t="s">
        <v>61</v>
      </c>
      <c r="E24" s="298"/>
      <c r="F24" s="298"/>
      <c r="G24" s="298"/>
      <c r="H24" s="298"/>
      <c r="I24" s="298"/>
      <c r="J24" s="299"/>
      <c r="K24" s="187"/>
      <c r="L24" s="187"/>
      <c r="M24" s="187"/>
      <c r="N24" s="187"/>
      <c r="O24" s="187"/>
      <c r="P24" s="187"/>
      <c r="Q24" s="187"/>
    </row>
    <row r="25" spans="1:17" x14ac:dyDescent="0.2">
      <c r="A25" s="290" t="s">
        <v>62</v>
      </c>
      <c r="B25" s="291"/>
      <c r="C25" s="292"/>
      <c r="D25" s="10"/>
      <c r="E25" s="11"/>
      <c r="F25" s="11"/>
      <c r="G25" s="11"/>
      <c r="H25" s="11"/>
      <c r="I25" s="11"/>
      <c r="J25" s="12"/>
      <c r="K25" s="187"/>
      <c r="L25" s="187"/>
      <c r="M25" s="187"/>
      <c r="N25" s="187"/>
      <c r="O25" s="187"/>
      <c r="P25" s="187"/>
      <c r="Q25" s="187"/>
    </row>
    <row r="26" spans="1:17" x14ac:dyDescent="0.2">
      <c r="A26" s="115"/>
      <c r="B26" s="293" t="s">
        <v>63</v>
      </c>
      <c r="C26" s="294"/>
      <c r="D26" s="10"/>
      <c r="E26" s="11"/>
      <c r="F26" s="11"/>
      <c r="G26" s="11"/>
      <c r="H26" s="11"/>
      <c r="I26" s="11"/>
      <c r="J26" s="12"/>
      <c r="K26" s="187"/>
      <c r="L26" s="187"/>
      <c r="M26" s="187"/>
      <c r="N26" s="187"/>
      <c r="O26" s="187"/>
      <c r="P26" s="187"/>
      <c r="Q26" s="187"/>
    </row>
    <row r="27" spans="1:17" ht="15.75" thickBot="1" x14ac:dyDescent="0.25">
      <c r="A27" s="116"/>
      <c r="B27" s="295" t="s">
        <v>64</v>
      </c>
      <c r="C27" s="296"/>
      <c r="D27" s="13"/>
      <c r="E27" s="14"/>
      <c r="F27" s="14"/>
      <c r="G27" s="14"/>
      <c r="H27" s="14"/>
      <c r="I27" s="14"/>
      <c r="J27" s="15"/>
      <c r="K27" s="187"/>
      <c r="L27" s="187"/>
      <c r="M27" s="187"/>
      <c r="N27" s="187"/>
      <c r="O27" s="187"/>
      <c r="P27" s="187"/>
      <c r="Q27" s="187"/>
    </row>
    <row r="28" spans="1:17" ht="16.5" thickBot="1" x14ac:dyDescent="0.3">
      <c r="A28" s="354" t="s">
        <v>19</v>
      </c>
      <c r="B28" s="355"/>
      <c r="C28" s="355"/>
      <c r="D28" s="355"/>
      <c r="E28" s="355"/>
      <c r="F28" s="355"/>
      <c r="G28" s="355"/>
      <c r="H28" s="355"/>
      <c r="I28" s="355"/>
      <c r="J28" s="356"/>
      <c r="K28" s="187"/>
      <c r="L28" s="187"/>
      <c r="M28" s="187"/>
      <c r="N28" s="187"/>
      <c r="O28" s="187"/>
      <c r="P28" s="187"/>
      <c r="Q28" s="187"/>
    </row>
    <row r="30" spans="1:17" ht="30.6" customHeight="1" x14ac:dyDescent="0.25">
      <c r="A30" s="187" t="s">
        <v>65</v>
      </c>
      <c r="B30" s="175" t="s">
        <v>66</v>
      </c>
      <c r="C30" s="175" t="s">
        <v>67</v>
      </c>
      <c r="D30" s="175" t="s">
        <v>68</v>
      </c>
      <c r="E30" s="175" t="s">
        <v>69</v>
      </c>
      <c r="F30" s="175" t="s">
        <v>70</v>
      </c>
      <c r="G30" s="175" t="s">
        <v>71</v>
      </c>
      <c r="H30" s="187"/>
      <c r="I30" s="187"/>
      <c r="J30" s="187"/>
      <c r="K30" s="187"/>
      <c r="L30" s="170"/>
      <c r="M30" s="187"/>
      <c r="N30" s="187"/>
      <c r="O30" s="187"/>
      <c r="P30" s="187"/>
      <c r="Q30" s="187"/>
    </row>
    <row r="31" spans="1:17" ht="36" customHeight="1" x14ac:dyDescent="0.25">
      <c r="A31" s="187"/>
      <c r="B31" s="175" t="s">
        <v>72</v>
      </c>
      <c r="C31" s="175" t="s">
        <v>73</v>
      </c>
      <c r="D31" s="175" t="s">
        <v>74</v>
      </c>
      <c r="E31" s="175" t="str">
        <f>"-3dBd"</f>
        <v>-3dBd</v>
      </c>
      <c r="F31" s="175" t="s">
        <v>75</v>
      </c>
      <c r="G31" s="175" t="s">
        <v>76</v>
      </c>
      <c r="H31" s="187"/>
      <c r="I31" s="187" t="s">
        <v>77</v>
      </c>
      <c r="J31" s="187" t="s">
        <v>78</v>
      </c>
      <c r="K31" s="187"/>
      <c r="L31" s="187" t="s">
        <v>79</v>
      </c>
      <c r="M31" s="187"/>
      <c r="N31" s="187"/>
      <c r="O31" s="187"/>
      <c r="P31" s="187"/>
      <c r="Q31" s="187"/>
    </row>
    <row r="32" spans="1:17" ht="48" customHeight="1" x14ac:dyDescent="0.25">
      <c r="A32" s="187"/>
      <c r="B32" s="175" t="s">
        <v>80</v>
      </c>
      <c r="C32" s="175"/>
      <c r="D32" s="175" t="s">
        <v>81</v>
      </c>
      <c r="E32" s="175" t="s">
        <v>82</v>
      </c>
      <c r="F32" s="175" t="s">
        <v>83</v>
      </c>
      <c r="G32" s="175" t="s">
        <v>76</v>
      </c>
      <c r="H32" s="187"/>
      <c r="I32" s="187" t="s">
        <v>84</v>
      </c>
      <c r="J32" s="175" t="s">
        <v>85</v>
      </c>
      <c r="K32" s="187"/>
      <c r="L32" s="187" t="s">
        <v>86</v>
      </c>
      <c r="M32" s="187" t="s">
        <v>87</v>
      </c>
      <c r="N32" s="187"/>
      <c r="O32" s="187"/>
      <c r="P32" s="187"/>
      <c r="Q32" s="187"/>
    </row>
    <row r="33" spans="1:13" ht="72" customHeight="1" x14ac:dyDescent="0.25">
      <c r="A33" s="187"/>
      <c r="B33" s="175" t="s">
        <v>88</v>
      </c>
      <c r="C33" s="187"/>
      <c r="D33" s="187" t="s">
        <v>89</v>
      </c>
      <c r="E33" s="175" t="str">
        <f>"-7 dBi at 30 MHz to 1 dBi at 88 MHz"</f>
        <v>-7 dBi at 30 MHz to 1 dBi at 88 MHz</v>
      </c>
      <c r="F33" s="175" t="s">
        <v>90</v>
      </c>
      <c r="G33" s="175" t="s">
        <v>76</v>
      </c>
      <c r="H33" s="187"/>
      <c r="I33" s="187" t="s">
        <v>91</v>
      </c>
      <c r="J33" s="187"/>
      <c r="K33" s="187"/>
      <c r="L33" s="187" t="s">
        <v>92</v>
      </c>
      <c r="M33" s="187" t="s">
        <v>93</v>
      </c>
    </row>
    <row r="34" spans="1:13" ht="60" x14ac:dyDescent="0.25">
      <c r="A34" s="187"/>
      <c r="B34" s="175" t="s">
        <v>94</v>
      </c>
      <c r="C34" s="187"/>
      <c r="D34" s="175" t="s">
        <v>89</v>
      </c>
      <c r="E34" s="175" t="str">
        <f>"-7.6 dBmp @ 30 MHz to -1.1 dBmp @ 88 MHz"</f>
        <v>-7.6 dBmp @ 30 MHz to -1.1 dBmp @ 88 MHz</v>
      </c>
      <c r="F34" s="175" t="s">
        <v>90</v>
      </c>
      <c r="G34" s="175" t="s">
        <v>76</v>
      </c>
      <c r="H34" s="187"/>
      <c r="I34" s="187" t="s">
        <v>95</v>
      </c>
      <c r="J34" s="187"/>
      <c r="K34" s="187"/>
      <c r="L34" s="187" t="s">
        <v>96</v>
      </c>
      <c r="M34" s="187" t="s">
        <v>97</v>
      </c>
    </row>
    <row r="35" spans="1:13" ht="90" x14ac:dyDescent="0.25">
      <c r="A35" s="187"/>
      <c r="B35" s="175" t="s">
        <v>98</v>
      </c>
      <c r="C35" s="175"/>
      <c r="D35" s="175" t="s">
        <v>99</v>
      </c>
      <c r="E35" s="175"/>
      <c r="F35" s="175" t="s">
        <v>100</v>
      </c>
      <c r="G35" s="175" t="s">
        <v>76</v>
      </c>
      <c r="H35" s="187"/>
      <c r="I35" s="187" t="s">
        <v>101</v>
      </c>
      <c r="J35" s="175" t="s">
        <v>102</v>
      </c>
      <c r="K35" s="187"/>
      <c r="L35" s="187" t="s">
        <v>103</v>
      </c>
      <c r="M35" s="187" t="s">
        <v>104</v>
      </c>
    </row>
    <row r="36" spans="1:13" ht="75" x14ac:dyDescent="0.25">
      <c r="A36" s="187"/>
      <c r="B36" s="175" t="s">
        <v>105</v>
      </c>
      <c r="C36" s="175"/>
      <c r="D36" s="175" t="s">
        <v>106</v>
      </c>
      <c r="E36" s="175"/>
      <c r="F36" s="175" t="s">
        <v>100</v>
      </c>
      <c r="G36" s="175" t="s">
        <v>76</v>
      </c>
      <c r="H36" s="187"/>
      <c r="I36" s="187" t="s">
        <v>107</v>
      </c>
      <c r="J36" s="175" t="s">
        <v>108</v>
      </c>
      <c r="K36" s="187"/>
      <c r="L36" s="187"/>
      <c r="M36" s="187"/>
    </row>
    <row r="37" spans="1:13" ht="27.6" customHeight="1" x14ac:dyDescent="0.25">
      <c r="A37" s="187" t="s">
        <v>109</v>
      </c>
      <c r="B37" s="187" t="s">
        <v>110</v>
      </c>
      <c r="C37" s="187"/>
      <c r="D37" s="187"/>
      <c r="E37" s="187"/>
      <c r="F37" s="187"/>
      <c r="G37" s="187" t="s">
        <v>111</v>
      </c>
      <c r="H37" s="187"/>
      <c r="I37" s="187"/>
      <c r="J37" s="187"/>
      <c r="K37" s="187"/>
      <c r="L37" s="187"/>
      <c r="M37" s="187"/>
    </row>
    <row r="38" spans="1:13" ht="45" x14ac:dyDescent="0.25">
      <c r="A38" s="187" t="s">
        <v>112</v>
      </c>
      <c r="B38" s="187" t="s">
        <v>113</v>
      </c>
      <c r="C38" s="187"/>
      <c r="D38" s="187"/>
      <c r="E38" s="175" t="s">
        <v>114</v>
      </c>
      <c r="F38" s="187"/>
      <c r="G38" s="187" t="s">
        <v>115</v>
      </c>
      <c r="H38" s="187"/>
      <c r="I38" s="187"/>
      <c r="J38" s="187"/>
      <c r="K38" s="187"/>
      <c r="L38" s="187"/>
      <c r="M38" s="187"/>
    </row>
    <row r="39" spans="1:13" ht="45" x14ac:dyDescent="0.25">
      <c r="A39" s="187" t="s">
        <v>116</v>
      </c>
      <c r="B39" s="187" t="s">
        <v>117</v>
      </c>
      <c r="C39" s="187"/>
      <c r="D39" s="187"/>
      <c r="E39" s="175" t="s">
        <v>118</v>
      </c>
      <c r="F39" s="187" t="s">
        <v>119</v>
      </c>
      <c r="G39" s="187"/>
      <c r="H39" s="187"/>
      <c r="I39" s="187"/>
      <c r="J39" s="187"/>
      <c r="K39" s="187"/>
      <c r="L39" s="187"/>
      <c r="M39" s="187"/>
    </row>
    <row r="40" spans="1:13" x14ac:dyDescent="0.25">
      <c r="A40" s="187" t="s">
        <v>120</v>
      </c>
      <c r="B40" s="187"/>
      <c r="C40" s="187"/>
      <c r="D40" s="187"/>
      <c r="E40" s="187"/>
      <c r="F40" s="187"/>
      <c r="G40" s="187"/>
      <c r="H40" s="187"/>
      <c r="I40" s="187"/>
      <c r="J40" s="187"/>
      <c r="K40" s="187"/>
      <c r="L40" s="187"/>
      <c r="M40" s="187"/>
    </row>
    <row r="41" spans="1:13" x14ac:dyDescent="0.25">
      <c r="A41" s="187" t="s">
        <v>121</v>
      </c>
      <c r="B41" s="187"/>
      <c r="C41" s="187"/>
      <c r="D41" s="187"/>
      <c r="E41" s="187"/>
      <c r="F41" s="187"/>
      <c r="G41" s="187"/>
      <c r="H41" s="187"/>
      <c r="I41" s="187"/>
      <c r="J41" s="187"/>
      <c r="K41" s="187"/>
      <c r="L41" s="187"/>
      <c r="M41" s="187"/>
    </row>
  </sheetData>
  <mergeCells count="56">
    <mergeCell ref="A1:J1"/>
    <mergeCell ref="A28:J28"/>
    <mergeCell ref="G15:H16"/>
    <mergeCell ref="I15:I16"/>
    <mergeCell ref="D15:E15"/>
    <mergeCell ref="D16:E16"/>
    <mergeCell ref="A8:B8"/>
    <mergeCell ref="D9:E9"/>
    <mergeCell ref="D10:E10"/>
    <mergeCell ref="A16:B16"/>
    <mergeCell ref="A13:B13"/>
    <mergeCell ref="A14:B14"/>
    <mergeCell ref="A15:B15"/>
    <mergeCell ref="A17:B17"/>
    <mergeCell ref="A18:B18"/>
    <mergeCell ref="G2:I2"/>
    <mergeCell ref="A5:B5"/>
    <mergeCell ref="A11:B11"/>
    <mergeCell ref="A12:B12"/>
    <mergeCell ref="A6:B6"/>
    <mergeCell ref="A9:B9"/>
    <mergeCell ref="A10:B10"/>
    <mergeCell ref="A2:B2"/>
    <mergeCell ref="D2:E2"/>
    <mergeCell ref="G10:H10"/>
    <mergeCell ref="D17:E17"/>
    <mergeCell ref="H3:I6"/>
    <mergeCell ref="G3:G6"/>
    <mergeCell ref="D7:E7"/>
    <mergeCell ref="G7:G9"/>
    <mergeCell ref="H7:I9"/>
    <mergeCell ref="A7:B7"/>
    <mergeCell ref="D5:E5"/>
    <mergeCell ref="D6:E6"/>
    <mergeCell ref="A3:B3"/>
    <mergeCell ref="A4:B4"/>
    <mergeCell ref="D4:E4"/>
    <mergeCell ref="D3:E3"/>
    <mergeCell ref="D18:E18"/>
    <mergeCell ref="G17:H18"/>
    <mergeCell ref="I17:I18"/>
    <mergeCell ref="D8:E8"/>
    <mergeCell ref="D13:E13"/>
    <mergeCell ref="D14:E14"/>
    <mergeCell ref="D11:E11"/>
    <mergeCell ref="D12:E12"/>
    <mergeCell ref="G11:H11"/>
    <mergeCell ref="A25:C25"/>
    <mergeCell ref="B26:C26"/>
    <mergeCell ref="B27:C27"/>
    <mergeCell ref="D24:J24"/>
    <mergeCell ref="A19:B19"/>
    <mergeCell ref="A20:B20"/>
    <mergeCell ref="D22:J22"/>
    <mergeCell ref="D23:J23"/>
    <mergeCell ref="D21:J21"/>
  </mergeCells>
  <phoneticPr fontId="10" type="noConversion"/>
  <dataValidations count="2">
    <dataValidation type="list" allowBlank="1" showInputMessage="1" showErrorMessage="1" sqref="I15:I16" xr:uid="{77E0C88B-036B-40DD-BC30-06A1FD3A7A99}">
      <formula1>"Free Space (Theoretical), Open (Unrestricted), Moderate Foliage (Restricted), Dense Foliage (Severely Restricted)"</formula1>
    </dataValidation>
    <dataValidation type="list" allowBlank="1" showInputMessage="1" showErrorMessage="1" sqref="I17:I18" xr:uid="{3B68292F-FDA5-4D03-BCD9-ED875F570281}">
      <formula1>"Normal Weather Conditions, Stormy Weather, Extreme Weather Conditions"</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EC45C-7DE1-4EF8-B986-C7720588C4D4}">
  <sheetPr codeName="Sheet2"/>
  <dimension ref="A1:N19"/>
  <sheetViews>
    <sheetView zoomScaleNormal="100" workbookViewId="0">
      <selection activeCell="K9" sqref="K9"/>
    </sheetView>
  </sheetViews>
  <sheetFormatPr defaultColWidth="15" defaultRowHeight="15" x14ac:dyDescent="0.25"/>
  <cols>
    <col min="1" max="5" width="15" style="1"/>
    <col min="6" max="6" width="12.85546875" style="1" customWidth="1"/>
    <col min="7" max="7" width="4.28515625" style="1" customWidth="1"/>
    <col min="8" max="8" width="15" style="1"/>
    <col min="9" max="9" width="13.140625" style="1" customWidth="1"/>
    <col min="10" max="10" width="7.7109375" style="1" customWidth="1"/>
    <col min="11" max="11" width="14" style="1" customWidth="1"/>
    <col min="12" max="12" width="15.85546875" style="1" customWidth="1"/>
    <col min="13" max="13" width="13.7109375" style="1" customWidth="1"/>
    <col min="14" max="14" width="8.42578125" style="1" customWidth="1"/>
    <col min="15" max="16384" width="15" style="1"/>
  </cols>
  <sheetData>
    <row r="1" spans="1:14" s="48" customFormat="1" ht="16.5" thickBot="1" x14ac:dyDescent="0.3">
      <c r="A1" s="354" t="s">
        <v>19</v>
      </c>
      <c r="B1" s="355"/>
      <c r="C1" s="355"/>
      <c r="D1" s="355"/>
      <c r="E1" s="355"/>
      <c r="F1" s="355"/>
      <c r="G1" s="355"/>
      <c r="H1" s="355"/>
      <c r="I1" s="355"/>
      <c r="J1" s="355"/>
      <c r="K1" s="355"/>
      <c r="L1" s="355"/>
      <c r="M1" s="355"/>
      <c r="N1" s="356"/>
    </row>
    <row r="2" spans="1:14" ht="28.15" customHeight="1" thickBot="1" x14ac:dyDescent="0.3">
      <c r="A2" s="328" t="s">
        <v>122</v>
      </c>
      <c r="B2" s="329"/>
      <c r="C2" s="328" t="s">
        <v>123</v>
      </c>
      <c r="D2" s="329"/>
      <c r="E2" s="328" t="s">
        <v>124</v>
      </c>
      <c r="F2" s="329"/>
      <c r="G2" s="178"/>
      <c r="H2" s="328" t="s">
        <v>125</v>
      </c>
      <c r="I2" s="329"/>
      <c r="J2" s="189"/>
      <c r="K2" s="49" t="s">
        <v>126</v>
      </c>
      <c r="L2" s="49" t="s">
        <v>127</v>
      </c>
      <c r="M2" s="50" t="s">
        <v>128</v>
      </c>
      <c r="N2" s="51"/>
    </row>
    <row r="3" spans="1:14" ht="47.25" customHeight="1" x14ac:dyDescent="0.25">
      <c r="A3" s="300" t="s">
        <v>33</v>
      </c>
      <c r="B3" s="301"/>
      <c r="C3" s="300" t="s">
        <v>129</v>
      </c>
      <c r="D3" s="301"/>
      <c r="E3" s="370" t="s">
        <v>130</v>
      </c>
      <c r="F3" s="371"/>
      <c r="G3" s="5"/>
      <c r="H3" s="320" t="s">
        <v>34</v>
      </c>
      <c r="I3" s="321"/>
      <c r="J3" s="189"/>
      <c r="K3" s="398">
        <f>$H$6+($C$6-2.15)-32.4-(20*LOG10($E$12))-(20*LOG10($H$8))+($E$14-2.15)</f>
        <v>-64.625011249232756</v>
      </c>
      <c r="L3" s="398">
        <f>$H$4+($A$6-2.15)-32.4-(20*LOG10($E$12))-(20*LOG10($H$10))+($E$16-2.15)</f>
        <v>-122.42711941920217</v>
      </c>
      <c r="M3" s="398">
        <f>K3-L3</f>
        <v>57.802108169969415</v>
      </c>
      <c r="N3" s="51"/>
    </row>
    <row r="4" spans="1:14" ht="15.75" thickBot="1" x14ac:dyDescent="0.3">
      <c r="A4" s="368">
        <v>68</v>
      </c>
      <c r="B4" s="369"/>
      <c r="C4" s="374">
        <v>20</v>
      </c>
      <c r="D4" s="375"/>
      <c r="E4" s="372">
        <v>1000</v>
      </c>
      <c r="F4" s="373"/>
      <c r="G4" s="6"/>
      <c r="H4" s="318">
        <f xml:space="preserve"> 10 *LOG10(1000*$A$4)</f>
        <v>48.32508912706237</v>
      </c>
      <c r="I4" s="319"/>
      <c r="J4" s="189"/>
      <c r="K4" s="399"/>
      <c r="L4" s="399"/>
      <c r="M4" s="399"/>
      <c r="N4" s="51"/>
    </row>
    <row r="5" spans="1:14" ht="52.5" customHeight="1" x14ac:dyDescent="0.25">
      <c r="A5" s="300" t="s">
        <v>36</v>
      </c>
      <c r="B5" s="301"/>
      <c r="C5" s="300" t="s">
        <v>131</v>
      </c>
      <c r="D5" s="301"/>
      <c r="E5" s="370" t="s">
        <v>132</v>
      </c>
      <c r="F5" s="371"/>
      <c r="G5" s="5"/>
      <c r="H5" s="320" t="s">
        <v>133</v>
      </c>
      <c r="I5" s="321"/>
      <c r="J5" s="189"/>
      <c r="K5" s="399"/>
      <c r="L5" s="399"/>
      <c r="M5" s="399"/>
      <c r="N5" s="51"/>
    </row>
    <row r="6" spans="1:14" ht="15.75" thickBot="1" x14ac:dyDescent="0.3">
      <c r="A6" s="366">
        <v>12</v>
      </c>
      <c r="B6" s="367"/>
      <c r="C6" s="366">
        <v>0</v>
      </c>
      <c r="D6" s="367"/>
      <c r="E6" s="372">
        <v>0</v>
      </c>
      <c r="F6" s="373"/>
      <c r="G6" s="6"/>
      <c r="H6" s="318">
        <f xml:space="preserve"> 10 *LOG10(1000*$C$4)</f>
        <v>43.010299956639813</v>
      </c>
      <c r="I6" s="319"/>
      <c r="J6" s="189"/>
      <c r="K6" s="400"/>
      <c r="L6" s="400"/>
      <c r="M6" s="400"/>
      <c r="N6" s="51"/>
    </row>
    <row r="7" spans="1:14" ht="31.15" customHeight="1" x14ac:dyDescent="0.25">
      <c r="A7" s="376"/>
      <c r="B7" s="377"/>
      <c r="C7" s="189"/>
      <c r="D7" s="189"/>
      <c r="E7" s="300" t="s">
        <v>134</v>
      </c>
      <c r="F7" s="301"/>
      <c r="G7" s="189"/>
      <c r="H7" s="324" t="s">
        <v>135</v>
      </c>
      <c r="I7" s="325"/>
      <c r="J7" s="189"/>
      <c r="K7" s="404" t="s">
        <v>136</v>
      </c>
      <c r="L7" s="405"/>
      <c r="M7" s="407" t="str">
        <f>IF(M3&gt;E18,"Feasible","Infeasible")</f>
        <v>Feasible</v>
      </c>
      <c r="N7" s="51"/>
    </row>
    <row r="8" spans="1:14" ht="15.75" thickBot="1" x14ac:dyDescent="0.3">
      <c r="A8" s="380"/>
      <c r="B8" s="381"/>
      <c r="C8" s="4"/>
      <c r="D8" s="4"/>
      <c r="E8" s="382">
        <v>2</v>
      </c>
      <c r="F8" s="383"/>
      <c r="G8" s="7"/>
      <c r="H8" s="322">
        <f>SQRT((ABS($E$4/1000)^2)+(($E$8)^2))</f>
        <v>2.2360679774997898</v>
      </c>
      <c r="I8" s="323"/>
      <c r="J8" s="189"/>
      <c r="K8" s="406"/>
      <c r="L8" s="206"/>
      <c r="M8" s="408"/>
      <c r="N8" s="51"/>
    </row>
    <row r="9" spans="1:14" ht="43.9" customHeight="1" x14ac:dyDescent="0.25">
      <c r="A9" s="376"/>
      <c r="B9" s="377"/>
      <c r="C9" s="189"/>
      <c r="D9" s="189"/>
      <c r="E9" s="370" t="s">
        <v>137</v>
      </c>
      <c r="F9" s="371"/>
      <c r="G9" s="5"/>
      <c r="H9" s="324" t="s">
        <v>138</v>
      </c>
      <c r="I9" s="325"/>
      <c r="J9" s="189"/>
      <c r="K9" s="189"/>
      <c r="L9" s="189"/>
      <c r="M9" s="189"/>
      <c r="N9" s="51"/>
    </row>
    <row r="10" spans="1:14" ht="15.75" thickBot="1" x14ac:dyDescent="0.3">
      <c r="A10" s="380"/>
      <c r="B10" s="381"/>
      <c r="C10" s="194"/>
      <c r="D10" s="194"/>
      <c r="E10" s="382">
        <v>20199</v>
      </c>
      <c r="F10" s="383"/>
      <c r="G10" s="7"/>
      <c r="H10" s="322">
        <f>SQRT((ABS($E$6/1000)^2)+(($E$10)^2))</f>
        <v>20199</v>
      </c>
      <c r="I10" s="323"/>
      <c r="J10" s="189"/>
      <c r="K10" s="189"/>
      <c r="L10" s="189"/>
      <c r="M10" s="189"/>
      <c r="N10" s="51"/>
    </row>
    <row r="11" spans="1:14" ht="22.9" customHeight="1" x14ac:dyDescent="0.25">
      <c r="A11" s="376"/>
      <c r="B11" s="377"/>
      <c r="C11" s="189"/>
      <c r="D11" s="189"/>
      <c r="E11" s="300" t="s">
        <v>41</v>
      </c>
      <c r="F11" s="301"/>
      <c r="G11" s="189"/>
      <c r="H11" s="189"/>
      <c r="I11" s="189"/>
      <c r="J11" s="189"/>
      <c r="K11" s="189"/>
      <c r="L11" s="189"/>
      <c r="M11" s="189"/>
      <c r="N11" s="51"/>
    </row>
    <row r="12" spans="1:14" ht="15.75" thickBot="1" x14ac:dyDescent="0.3">
      <c r="A12" s="378"/>
      <c r="B12" s="379"/>
      <c r="C12" s="193"/>
      <c r="D12" s="193"/>
      <c r="E12" s="352">
        <v>1575</v>
      </c>
      <c r="F12" s="353"/>
      <c r="G12" s="4"/>
      <c r="H12" s="189"/>
      <c r="I12" s="189"/>
      <c r="J12" s="189"/>
      <c r="K12" s="189"/>
      <c r="L12" s="189"/>
      <c r="M12" s="189"/>
      <c r="N12" s="51"/>
    </row>
    <row r="13" spans="1:14" ht="33" customHeight="1" thickBot="1" x14ac:dyDescent="0.3">
      <c r="A13" s="192"/>
      <c r="B13" s="189"/>
      <c r="C13" s="189"/>
      <c r="D13" s="189"/>
      <c r="E13" s="370" t="s">
        <v>139</v>
      </c>
      <c r="F13" s="371"/>
      <c r="G13" s="5"/>
      <c r="H13" s="401" t="s">
        <v>58</v>
      </c>
      <c r="I13" s="402"/>
      <c r="J13" s="402"/>
      <c r="K13" s="402"/>
      <c r="L13" s="402"/>
      <c r="M13" s="402"/>
      <c r="N13" s="403"/>
    </row>
    <row r="14" spans="1:14" ht="15.75" thickBot="1" x14ac:dyDescent="0.3">
      <c r="A14" s="192"/>
      <c r="B14" s="189"/>
      <c r="C14" s="189"/>
      <c r="D14" s="189"/>
      <c r="E14" s="366">
        <v>0</v>
      </c>
      <c r="F14" s="367"/>
      <c r="G14" s="194"/>
      <c r="H14" s="390" t="s">
        <v>140</v>
      </c>
      <c r="I14" s="391"/>
      <c r="J14" s="391"/>
      <c r="K14" s="391"/>
      <c r="L14" s="391"/>
      <c r="M14" s="391"/>
      <c r="N14" s="392"/>
    </row>
    <row r="15" spans="1:14" ht="42" customHeight="1" thickBot="1" x14ac:dyDescent="0.3">
      <c r="A15" s="192"/>
      <c r="B15" s="189"/>
      <c r="C15" s="189"/>
      <c r="D15" s="189"/>
      <c r="E15" s="370" t="s">
        <v>141</v>
      </c>
      <c r="F15" s="371"/>
      <c r="G15" s="5"/>
      <c r="H15" s="393"/>
      <c r="I15" s="394"/>
      <c r="J15" s="394"/>
      <c r="K15" s="394"/>
      <c r="L15" s="394"/>
      <c r="M15" s="394"/>
      <c r="N15" s="395"/>
    </row>
    <row r="16" spans="1:14" ht="15" customHeight="1" thickBot="1" x14ac:dyDescent="0.25">
      <c r="A16" s="290" t="s">
        <v>62</v>
      </c>
      <c r="B16" s="291"/>
      <c r="C16" s="292"/>
      <c r="D16" s="189"/>
      <c r="E16" s="366">
        <v>4</v>
      </c>
      <c r="F16" s="367"/>
      <c r="G16" s="194"/>
      <c r="H16" s="384" t="s">
        <v>142</v>
      </c>
      <c r="I16" s="385"/>
      <c r="J16" s="385"/>
      <c r="K16" s="385"/>
      <c r="L16" s="385"/>
      <c r="M16" s="385"/>
      <c r="N16" s="386"/>
    </row>
    <row r="17" spans="1:14" x14ac:dyDescent="0.2">
      <c r="A17" s="115"/>
      <c r="B17" s="293" t="s">
        <v>63</v>
      </c>
      <c r="C17" s="294"/>
      <c r="D17" s="189"/>
      <c r="E17" s="370" t="s">
        <v>143</v>
      </c>
      <c r="F17" s="371"/>
      <c r="G17" s="5"/>
      <c r="H17" s="384"/>
      <c r="I17" s="385"/>
      <c r="J17" s="385"/>
      <c r="K17" s="385"/>
      <c r="L17" s="385"/>
      <c r="M17" s="385"/>
      <c r="N17" s="386"/>
    </row>
    <row r="18" spans="1:14" ht="15.75" thickBot="1" x14ac:dyDescent="0.25">
      <c r="A18" s="116"/>
      <c r="B18" s="295" t="s">
        <v>64</v>
      </c>
      <c r="C18" s="296"/>
      <c r="D18" s="3"/>
      <c r="E18" s="396">
        <v>57</v>
      </c>
      <c r="F18" s="397"/>
      <c r="G18" s="8"/>
      <c r="H18" s="387"/>
      <c r="I18" s="388"/>
      <c r="J18" s="388"/>
      <c r="K18" s="388"/>
      <c r="L18" s="388"/>
      <c r="M18" s="388"/>
      <c r="N18" s="389"/>
    </row>
    <row r="19" spans="1:14" ht="16.5" thickBot="1" x14ac:dyDescent="0.3">
      <c r="A19" s="354" t="s">
        <v>19</v>
      </c>
      <c r="B19" s="355"/>
      <c r="C19" s="355"/>
      <c r="D19" s="355"/>
      <c r="E19" s="355"/>
      <c r="F19" s="355"/>
      <c r="G19" s="355"/>
      <c r="H19" s="355"/>
      <c r="I19" s="355"/>
      <c r="J19" s="355"/>
      <c r="K19" s="355"/>
      <c r="L19" s="355"/>
      <c r="M19" s="355"/>
      <c r="N19" s="356"/>
    </row>
  </sheetData>
  <mergeCells count="55">
    <mergeCell ref="A1:N1"/>
    <mergeCell ref="A19:N19"/>
    <mergeCell ref="K3:K6"/>
    <mergeCell ref="L3:L6"/>
    <mergeCell ref="M3:M6"/>
    <mergeCell ref="H13:N13"/>
    <mergeCell ref="K7:L8"/>
    <mergeCell ref="M7:M8"/>
    <mergeCell ref="H5:I5"/>
    <mergeCell ref="H6:I6"/>
    <mergeCell ref="H7:I7"/>
    <mergeCell ref="H8:I8"/>
    <mergeCell ref="H9:I9"/>
    <mergeCell ref="H10:I10"/>
    <mergeCell ref="E13:F13"/>
    <mergeCell ref="E14:F14"/>
    <mergeCell ref="E15:F15"/>
    <mergeCell ref="E16:F16"/>
    <mergeCell ref="H16:N18"/>
    <mergeCell ref="H14:N15"/>
    <mergeCell ref="E17:F17"/>
    <mergeCell ref="E18:F18"/>
    <mergeCell ref="E5:F5"/>
    <mergeCell ref="A11:B11"/>
    <mergeCell ref="A12:B12"/>
    <mergeCell ref="A9:B9"/>
    <mergeCell ref="A10:B10"/>
    <mergeCell ref="A7:B7"/>
    <mergeCell ref="A8:B8"/>
    <mergeCell ref="E11:F11"/>
    <mergeCell ref="E12:F12"/>
    <mergeCell ref="C5:D5"/>
    <mergeCell ref="C6:D6"/>
    <mergeCell ref="E6:F6"/>
    <mergeCell ref="E7:F7"/>
    <mergeCell ref="E8:F8"/>
    <mergeCell ref="E9:F9"/>
    <mergeCell ref="E10:F10"/>
    <mergeCell ref="A2:B2"/>
    <mergeCell ref="H2:I2"/>
    <mergeCell ref="A3:B3"/>
    <mergeCell ref="H3:I3"/>
    <mergeCell ref="A4:B4"/>
    <mergeCell ref="H4:I4"/>
    <mergeCell ref="C2:D2"/>
    <mergeCell ref="C3:D3"/>
    <mergeCell ref="E2:F2"/>
    <mergeCell ref="E3:F3"/>
    <mergeCell ref="E4:F4"/>
    <mergeCell ref="C4:D4"/>
    <mergeCell ref="A16:C16"/>
    <mergeCell ref="B17:C17"/>
    <mergeCell ref="B18:C18"/>
    <mergeCell ref="A5:B5"/>
    <mergeCell ref="A6:B6"/>
  </mergeCells>
  <conditionalFormatting sqref="M7:M8">
    <cfRule type="cellIs" dxfId="8" priority="1" operator="equal">
      <formula>"Infeasible"</formula>
    </cfRule>
    <cfRule type="cellIs" dxfId="7" priority="2" operator="equal">
      <formula>"Feasible"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63D8-9188-4449-90B4-22C019C0B0CA}">
  <sheetPr codeName="Sheet7"/>
  <dimension ref="A1:Q56"/>
  <sheetViews>
    <sheetView topLeftCell="A15" workbookViewId="0">
      <selection activeCell="I49" sqref="I49"/>
    </sheetView>
  </sheetViews>
  <sheetFormatPr defaultColWidth="8.85546875" defaultRowHeight="12.75" x14ac:dyDescent="0.2"/>
  <cols>
    <col min="1" max="1" width="12.5703125" style="114" bestFit="1" customWidth="1"/>
    <col min="2" max="2" width="12.28515625" style="114" customWidth="1"/>
    <col min="3" max="3" width="8.85546875" style="114"/>
    <col min="4" max="4" width="12.5703125" style="114" bestFit="1" customWidth="1"/>
    <col min="5" max="5" width="12.28515625" style="114" bestFit="1" customWidth="1"/>
    <col min="6" max="6" width="12.28515625" style="114" customWidth="1"/>
    <col min="7" max="7" width="12.28515625" style="114" bestFit="1" customWidth="1"/>
    <col min="8" max="8" width="12.28515625" style="114" customWidth="1"/>
    <col min="9" max="9" width="16.140625" style="114" bestFit="1" customWidth="1"/>
    <col min="10" max="10" width="12.28515625" style="114" customWidth="1"/>
    <col min="11" max="11" width="10.42578125" style="114" customWidth="1"/>
    <col min="12" max="12" width="17.5703125" style="114" customWidth="1"/>
    <col min="13" max="13" width="11.42578125" style="114" customWidth="1"/>
    <col min="14" max="14" width="12.28515625" style="114" customWidth="1"/>
    <col min="15" max="15" width="12.28515625" style="114" bestFit="1" customWidth="1"/>
    <col min="16" max="16" width="12.28515625" style="114" customWidth="1"/>
    <col min="17" max="17" width="12.28515625" style="114" bestFit="1" customWidth="1"/>
    <col min="18" max="18" width="5" style="114" customWidth="1"/>
    <col min="19" max="19" width="8.85546875" style="114"/>
    <col min="20" max="20" width="24.140625" style="114" bestFit="1" customWidth="1"/>
    <col min="21" max="16384" width="8.85546875" style="114"/>
  </cols>
  <sheetData>
    <row r="1" spans="1:17" ht="15.6" customHeight="1" thickBot="1" x14ac:dyDescent="0.25">
      <c r="A1" s="502" t="s">
        <v>19</v>
      </c>
      <c r="B1" s="503"/>
      <c r="C1" s="503"/>
      <c r="D1" s="503"/>
      <c r="E1" s="503"/>
      <c r="F1" s="503"/>
      <c r="G1" s="503"/>
      <c r="H1" s="503"/>
      <c r="I1" s="503"/>
      <c r="J1" s="503"/>
      <c r="K1" s="503"/>
      <c r="L1" s="503"/>
      <c r="M1" s="503"/>
      <c r="N1" s="503"/>
      <c r="O1" s="503"/>
      <c r="P1" s="503"/>
      <c r="Q1" s="504"/>
    </row>
    <row r="2" spans="1:17" ht="15.75" x14ac:dyDescent="0.25">
      <c r="A2" s="461" t="s">
        <v>144</v>
      </c>
      <c r="B2" s="462"/>
      <c r="C2" s="462"/>
      <c r="D2" s="462"/>
      <c r="E2" s="462"/>
      <c r="F2" s="462"/>
      <c r="G2" s="462"/>
      <c r="H2" s="462"/>
      <c r="I2" s="462"/>
      <c r="J2" s="462"/>
      <c r="K2" s="462"/>
      <c r="L2" s="462"/>
      <c r="M2" s="462"/>
      <c r="N2" s="462"/>
      <c r="O2" s="462"/>
      <c r="P2" s="462"/>
      <c r="Q2" s="463"/>
    </row>
    <row r="3" spans="1:17" ht="13.5" thickBot="1" x14ac:dyDescent="0.25">
      <c r="A3" s="464" t="s">
        <v>145</v>
      </c>
      <c r="B3" s="465"/>
      <c r="C3" s="465"/>
      <c r="D3" s="465"/>
      <c r="E3" s="465"/>
      <c r="F3" s="465"/>
      <c r="G3" s="465"/>
      <c r="H3" s="465"/>
      <c r="I3" s="465"/>
      <c r="J3" s="465"/>
      <c r="K3" s="465"/>
      <c r="L3" s="465"/>
      <c r="M3" s="465"/>
      <c r="N3" s="465"/>
      <c r="O3" s="465"/>
      <c r="P3" s="465"/>
      <c r="Q3" s="466"/>
    </row>
    <row r="4" spans="1:17" ht="13.5" thickBot="1" x14ac:dyDescent="0.25">
      <c r="A4" s="493" t="s">
        <v>146</v>
      </c>
      <c r="B4" s="494"/>
      <c r="C4" s="495"/>
      <c r="D4" s="493" t="s">
        <v>147</v>
      </c>
      <c r="E4" s="494"/>
      <c r="F4" s="494"/>
      <c r="G4" s="494"/>
      <c r="H4" s="494"/>
      <c r="I4" s="494"/>
      <c r="J4" s="494"/>
      <c r="K4" s="494"/>
      <c r="L4" s="494"/>
      <c r="M4" s="494"/>
      <c r="N4" s="494"/>
      <c r="O4" s="494"/>
      <c r="P4" s="494"/>
      <c r="Q4" s="495"/>
    </row>
    <row r="5" spans="1:17" ht="15.75" x14ac:dyDescent="0.3">
      <c r="A5" s="499" t="s">
        <v>41</v>
      </c>
      <c r="B5" s="501"/>
      <c r="C5" s="500"/>
      <c r="D5" s="499" t="s">
        <v>148</v>
      </c>
      <c r="E5" s="500"/>
      <c r="F5" s="499" t="s">
        <v>149</v>
      </c>
      <c r="G5" s="500"/>
      <c r="H5" s="499" t="s">
        <v>150</v>
      </c>
      <c r="I5" s="500"/>
      <c r="J5" s="499" t="s">
        <v>151</v>
      </c>
      <c r="K5" s="500"/>
      <c r="L5" s="499" t="s">
        <v>152</v>
      </c>
      <c r="M5" s="500"/>
      <c r="N5" s="499" t="s">
        <v>153</v>
      </c>
      <c r="O5" s="500"/>
      <c r="P5" s="501" t="s">
        <v>154</v>
      </c>
      <c r="Q5" s="500"/>
    </row>
    <row r="6" spans="1:17" x14ac:dyDescent="0.2">
      <c r="A6" s="505">
        <v>15</v>
      </c>
      <c r="B6" s="506"/>
      <c r="C6" s="507"/>
      <c r="D6" s="98" t="s">
        <v>155</v>
      </c>
      <c r="E6" s="97" t="s">
        <v>156</v>
      </c>
      <c r="F6" s="98" t="s">
        <v>155</v>
      </c>
      <c r="G6" s="97" t="s">
        <v>156</v>
      </c>
      <c r="H6" s="98" t="s">
        <v>155</v>
      </c>
      <c r="I6" s="97" t="s">
        <v>156</v>
      </c>
      <c r="J6" s="98" t="s">
        <v>155</v>
      </c>
      <c r="K6" s="104" t="s">
        <v>156</v>
      </c>
      <c r="L6" s="105" t="s">
        <v>155</v>
      </c>
      <c r="M6" s="97" t="s">
        <v>156</v>
      </c>
      <c r="N6" s="98" t="s">
        <v>155</v>
      </c>
      <c r="O6" s="97" t="s">
        <v>156</v>
      </c>
      <c r="P6" s="98" t="s">
        <v>155</v>
      </c>
      <c r="Q6" s="97" t="s">
        <v>156</v>
      </c>
    </row>
    <row r="7" spans="1:17" x14ac:dyDescent="0.2">
      <c r="A7" s="505"/>
      <c r="B7" s="506"/>
      <c r="C7" s="507"/>
      <c r="D7" s="99">
        <f>299792458/($A$6*10^6)*VALUE(LEFT(D5,1))/VALUE(MID(D5,3,1))</f>
        <v>29.979245799999998</v>
      </c>
      <c r="E7" s="94">
        <f>D7/2</f>
        <v>14.989622899999999</v>
      </c>
      <c r="F7" s="99">
        <f>299792458/($A$6*10^6)</f>
        <v>19.986163866666665</v>
      </c>
      <c r="G7" s="94">
        <f>F7/2</f>
        <v>9.9930819333333325</v>
      </c>
      <c r="H7" s="99">
        <f>299792458/($A$6*10^6)*VALUE(LEFT(H5,1))/VALUE(MID(H5,3,1))</f>
        <v>12.491352416666665</v>
      </c>
      <c r="I7" s="94">
        <f>H7/2</f>
        <v>6.2456762083333324</v>
      </c>
      <c r="J7" s="99">
        <f>299792458/($A$6*10^6)*VALUE(LEFT(J5,1))/VALUE(MID(J5,3,1))</f>
        <v>9.9930819333333325</v>
      </c>
      <c r="K7" s="106">
        <f>J7/2</f>
        <v>4.9965409666666663</v>
      </c>
      <c r="L7" s="107">
        <f>299792458/($A$6*10^6)*VALUE(LEFT(L5,1))/VALUE(MID(L5,3,1))</f>
        <v>4.9965409666666663</v>
      </c>
      <c r="M7" s="94">
        <f>L7/2</f>
        <v>2.4982704833333331</v>
      </c>
      <c r="N7" s="99">
        <f>299792458/($A$6*10^6)*VALUE(LEFT(N5,1))/VALUE(MID(N5,3,1))</f>
        <v>3.3310273111111108</v>
      </c>
      <c r="O7" s="94">
        <f>N7/2</f>
        <v>1.6655136555555554</v>
      </c>
      <c r="P7" s="99">
        <f>299792458/($A$6*10^6)*VALUE(LEFT(P5,1))/VALUE(MID(P5,3,1))</f>
        <v>2.2206848740740739</v>
      </c>
      <c r="Q7" s="94">
        <f>P7/2</f>
        <v>1.1103424370370369</v>
      </c>
    </row>
    <row r="8" spans="1:17" x14ac:dyDescent="0.2">
      <c r="A8" s="505"/>
      <c r="B8" s="506"/>
      <c r="C8" s="507"/>
      <c r="D8" s="100">
        <f>3.28084*D7</f>
        <v>98.357108790471997</v>
      </c>
      <c r="E8" s="95">
        <f t="shared" ref="E8:G10" si="0">D8/2</f>
        <v>49.178554395235999</v>
      </c>
      <c r="F8" s="100">
        <f>3.28084*F7</f>
        <v>65.571405860314655</v>
      </c>
      <c r="G8" s="95">
        <f t="shared" si="0"/>
        <v>32.785702930157328</v>
      </c>
      <c r="H8" s="100">
        <f>3.28084*H7</f>
        <v>40.98212866269666</v>
      </c>
      <c r="I8" s="95">
        <f>H8/2</f>
        <v>20.49106433134833</v>
      </c>
      <c r="J8" s="100">
        <f>3.28084*J7</f>
        <v>32.785702930157328</v>
      </c>
      <c r="K8" s="108">
        <f t="shared" ref="K8" si="1">J8/2</f>
        <v>16.392851465078664</v>
      </c>
      <c r="L8" s="109">
        <f>3.28084*L7</f>
        <v>16.392851465078664</v>
      </c>
      <c r="M8" s="95">
        <f t="shared" ref="M8" si="2">L8/2</f>
        <v>8.1964257325393319</v>
      </c>
      <c r="N8" s="100">
        <f>3.28084*N7</f>
        <v>10.928567643385776</v>
      </c>
      <c r="O8" s="95">
        <f t="shared" ref="O8" si="3">N8/2</f>
        <v>5.464283821692888</v>
      </c>
      <c r="P8" s="100">
        <f>3.28084*P7</f>
        <v>7.2857117622571845</v>
      </c>
      <c r="Q8" s="95">
        <f t="shared" ref="Q8" si="4">P8/2</f>
        <v>3.6428558811285923</v>
      </c>
    </row>
    <row r="9" spans="1:17" x14ac:dyDescent="0.2">
      <c r="A9" s="505"/>
      <c r="B9" s="506"/>
      <c r="C9" s="507"/>
      <c r="D9" s="101">
        <f>D8*12</f>
        <v>1180.2853054856639</v>
      </c>
      <c r="E9" s="96">
        <f t="shared" si="0"/>
        <v>590.14265274283196</v>
      </c>
      <c r="F9" s="101">
        <f>F8*12</f>
        <v>786.85687032377587</v>
      </c>
      <c r="G9" s="96">
        <f t="shared" si="0"/>
        <v>393.42843516188793</v>
      </c>
      <c r="H9" s="101">
        <f>H8*12</f>
        <v>491.78554395235994</v>
      </c>
      <c r="I9" s="96">
        <f t="shared" ref="I9" si="5">H9/2</f>
        <v>245.89277197617997</v>
      </c>
      <c r="J9" s="101">
        <f>J8*12</f>
        <v>393.42843516188793</v>
      </c>
      <c r="K9" s="110">
        <f t="shared" ref="K9" si="6">J9/2</f>
        <v>196.71421758094397</v>
      </c>
      <c r="L9" s="111">
        <f>L8*12</f>
        <v>196.71421758094397</v>
      </c>
      <c r="M9" s="96">
        <f t="shared" ref="M9" si="7">L9/2</f>
        <v>98.357108790471983</v>
      </c>
      <c r="N9" s="101">
        <f>N8*12</f>
        <v>131.14281172062931</v>
      </c>
      <c r="O9" s="96">
        <f t="shared" ref="O9" si="8">N9/2</f>
        <v>65.571405860314655</v>
      </c>
      <c r="P9" s="101">
        <f>P8*12</f>
        <v>87.428541147086207</v>
      </c>
      <c r="Q9" s="96">
        <f t="shared" ref="Q9" si="9">P9/2</f>
        <v>43.714270573543104</v>
      </c>
    </row>
    <row r="10" spans="1:17" ht="13.5" thickBot="1" x14ac:dyDescent="0.25">
      <c r="A10" s="508"/>
      <c r="B10" s="509"/>
      <c r="C10" s="510"/>
      <c r="D10" s="102">
        <f>D7*100</f>
        <v>2997.9245799999999</v>
      </c>
      <c r="E10" s="103">
        <f t="shared" si="0"/>
        <v>1498.9622899999999</v>
      </c>
      <c r="F10" s="102">
        <f>F7*100</f>
        <v>1998.6163866666666</v>
      </c>
      <c r="G10" s="103">
        <f t="shared" si="0"/>
        <v>999.30819333333329</v>
      </c>
      <c r="H10" s="102">
        <f>H7*100</f>
        <v>1249.1352416666664</v>
      </c>
      <c r="I10" s="103">
        <f t="shared" ref="I10" si="10">H10/2</f>
        <v>624.56762083333319</v>
      </c>
      <c r="J10" s="102">
        <f>J7*100</f>
        <v>999.30819333333329</v>
      </c>
      <c r="K10" s="112">
        <f t="shared" ref="K10" si="11">J10/2</f>
        <v>499.65409666666665</v>
      </c>
      <c r="L10" s="113">
        <f>L7*100</f>
        <v>499.65409666666665</v>
      </c>
      <c r="M10" s="103">
        <f t="shared" ref="M10" si="12">L10/2</f>
        <v>249.82704833333332</v>
      </c>
      <c r="N10" s="102">
        <f>N7*100</f>
        <v>333.1027311111111</v>
      </c>
      <c r="O10" s="103">
        <f t="shared" ref="O10" si="13">N10/2</f>
        <v>166.55136555555555</v>
      </c>
      <c r="P10" s="102">
        <f>P7*100</f>
        <v>222.06848740740739</v>
      </c>
      <c r="Q10" s="103">
        <f t="shared" ref="Q10" si="14">P10/2</f>
        <v>111.03424370370369</v>
      </c>
    </row>
    <row r="11" spans="1:17" ht="13.15" customHeight="1" x14ac:dyDescent="0.2">
      <c r="A11" s="485" t="s">
        <v>157</v>
      </c>
      <c r="B11" s="486"/>
      <c r="C11" s="486"/>
      <c r="D11" s="471" t="s">
        <v>158</v>
      </c>
      <c r="E11" s="472"/>
      <c r="F11" s="471" t="s">
        <v>159</v>
      </c>
      <c r="G11" s="472"/>
      <c r="H11" s="471" t="s">
        <v>160</v>
      </c>
      <c r="I11" s="472"/>
      <c r="J11" s="471" t="s">
        <v>161</v>
      </c>
      <c r="K11" s="472"/>
      <c r="L11" s="471" t="s">
        <v>162</v>
      </c>
      <c r="M11" s="472"/>
      <c r="N11" s="471" t="s">
        <v>163</v>
      </c>
      <c r="O11" s="472"/>
      <c r="P11" s="471" t="s">
        <v>163</v>
      </c>
      <c r="Q11" s="472"/>
    </row>
    <row r="12" spans="1:17" ht="47.45" customHeight="1" thickBot="1" x14ac:dyDescent="0.25">
      <c r="A12" s="487"/>
      <c r="B12" s="488"/>
      <c r="C12" s="488"/>
      <c r="D12" s="473"/>
      <c r="E12" s="474"/>
      <c r="F12" s="473"/>
      <c r="G12" s="474"/>
      <c r="H12" s="473"/>
      <c r="I12" s="474"/>
      <c r="J12" s="473"/>
      <c r="K12" s="474"/>
      <c r="L12" s="473"/>
      <c r="M12" s="474"/>
      <c r="N12" s="473"/>
      <c r="O12" s="474"/>
      <c r="P12" s="473"/>
      <c r="Q12" s="474"/>
    </row>
    <row r="13" spans="1:17" ht="13.5" thickBot="1" x14ac:dyDescent="0.25">
      <c r="A13" s="458"/>
      <c r="B13" s="459"/>
      <c r="C13" s="459"/>
      <c r="D13" s="459"/>
      <c r="E13" s="459"/>
      <c r="F13" s="459"/>
      <c r="G13" s="459"/>
      <c r="H13" s="459"/>
      <c r="I13" s="459"/>
      <c r="J13" s="459"/>
      <c r="K13" s="459"/>
      <c r="L13" s="459"/>
      <c r="M13" s="459"/>
      <c r="N13" s="459"/>
      <c r="O13" s="459"/>
      <c r="P13" s="459"/>
      <c r="Q13" s="460"/>
    </row>
    <row r="14" spans="1:17" ht="15.75" x14ac:dyDescent="0.25">
      <c r="A14" s="461" t="s">
        <v>164</v>
      </c>
      <c r="B14" s="462"/>
      <c r="C14" s="462"/>
      <c r="D14" s="462"/>
      <c r="E14" s="462"/>
      <c r="F14" s="462"/>
      <c r="G14" s="462"/>
      <c r="H14" s="462"/>
      <c r="I14" s="462"/>
      <c r="J14" s="462"/>
      <c r="K14" s="462"/>
      <c r="L14" s="462"/>
      <c r="M14" s="462"/>
      <c r="N14" s="462"/>
      <c r="O14" s="462"/>
      <c r="P14" s="462"/>
      <c r="Q14" s="463"/>
    </row>
    <row r="15" spans="1:17" ht="13.5" thickBot="1" x14ac:dyDescent="0.25">
      <c r="A15" s="464" t="s">
        <v>165</v>
      </c>
      <c r="B15" s="465"/>
      <c r="C15" s="465"/>
      <c r="D15" s="465"/>
      <c r="E15" s="465"/>
      <c r="F15" s="465"/>
      <c r="G15" s="465"/>
      <c r="H15" s="465"/>
      <c r="I15" s="465"/>
      <c r="J15" s="465"/>
      <c r="K15" s="465"/>
      <c r="L15" s="465"/>
      <c r="M15" s="465"/>
      <c r="N15" s="465"/>
      <c r="O15" s="465"/>
      <c r="P15" s="465"/>
      <c r="Q15" s="466"/>
    </row>
    <row r="16" spans="1:17" ht="13.5" thickBot="1" x14ac:dyDescent="0.25">
      <c r="A16" s="493" t="s">
        <v>146</v>
      </c>
      <c r="B16" s="494"/>
      <c r="C16" s="495"/>
      <c r="D16" s="493" t="s">
        <v>147</v>
      </c>
      <c r="E16" s="494"/>
      <c r="F16" s="494"/>
      <c r="G16" s="494"/>
      <c r="H16" s="494"/>
      <c r="I16" s="494"/>
      <c r="J16" s="494"/>
      <c r="K16" s="494"/>
      <c r="L16" s="494"/>
      <c r="M16" s="494"/>
      <c r="N16" s="494"/>
      <c r="O16" s="494"/>
      <c r="P16" s="494"/>
      <c r="Q16" s="495"/>
    </row>
    <row r="17" spans="1:17" ht="15.75" x14ac:dyDescent="0.3">
      <c r="A17" s="496" t="s">
        <v>166</v>
      </c>
      <c r="B17" s="497"/>
      <c r="C17" s="498"/>
      <c r="D17" s="499" t="s">
        <v>148</v>
      </c>
      <c r="E17" s="500"/>
      <c r="F17" s="499" t="s">
        <v>149</v>
      </c>
      <c r="G17" s="500"/>
      <c r="H17" s="499" t="s">
        <v>150</v>
      </c>
      <c r="I17" s="500"/>
      <c r="J17" s="499" t="s">
        <v>151</v>
      </c>
      <c r="K17" s="500"/>
      <c r="L17" s="499" t="s">
        <v>152</v>
      </c>
      <c r="M17" s="500"/>
      <c r="N17" s="499" t="s">
        <v>153</v>
      </c>
      <c r="O17" s="500"/>
      <c r="P17" s="501" t="s">
        <v>154</v>
      </c>
      <c r="Q17" s="500"/>
    </row>
    <row r="18" spans="1:17" ht="14.45" customHeight="1" x14ac:dyDescent="0.2">
      <c r="A18" s="479">
        <v>0.5</v>
      </c>
      <c r="B18" s="480"/>
      <c r="C18" s="481"/>
      <c r="D18" s="467">
        <f>299792458/($A$18/VALUE(LEFT(D17,1))*VALUE(MID(D17,3,1))*10^6)</f>
        <v>899.37737400000003</v>
      </c>
      <c r="E18" s="468" t="e">
        <f t="shared" ref="E18" si="15">299792458/($A$6*10^6)*VALUE(LEFT(E16,1))/VALUE(MID(E16,3,1))</f>
        <v>#VALUE!</v>
      </c>
      <c r="F18" s="467">
        <f>299792458/($A$18)/10^6</f>
        <v>599.58491600000002</v>
      </c>
      <c r="G18" s="468"/>
      <c r="H18" s="467">
        <f>299792458/($A$18/VALUE(LEFT(H17,1))*VALUE(MID(H17,3,1))*10^6)</f>
        <v>374.74057249999998</v>
      </c>
      <c r="I18" s="468" t="e">
        <f t="shared" ref="I18" si="16">299792458/($A$6*10^6)*VALUE(LEFT(I16,1))/VALUE(MID(I16,3,1))</f>
        <v>#VALUE!</v>
      </c>
      <c r="J18" s="475">
        <f>299792458/($A$18/VALUE(LEFT(J17,1))*VALUE(MID(J17,3,1))*10^6)</f>
        <v>299.79245800000001</v>
      </c>
      <c r="K18" s="476" t="e">
        <f t="shared" ref="K18" si="17">299792458/($A$6*10^6)*VALUE(LEFT(K16,1))/VALUE(MID(K16,3,1))</f>
        <v>#VALUE!</v>
      </c>
      <c r="L18" s="475">
        <f>299792458/($A$18/VALUE(LEFT(L17,1))*VALUE(MID(L17,3,1))*10^6)</f>
        <v>149.89622900000001</v>
      </c>
      <c r="M18" s="476" t="e">
        <f t="shared" ref="M18" si="18">299792458/($A$6*10^6)*VALUE(LEFT(M16,1))/VALUE(MID(M16,3,1))</f>
        <v>#VALUE!</v>
      </c>
      <c r="N18" s="467">
        <f>299792458/($A$18/VALUE(LEFT(N17,1))*VALUE(MID(N17,3,1))*10^6)</f>
        <v>99.930819333333332</v>
      </c>
      <c r="O18" s="468" t="e">
        <f t="shared" ref="O18" si="19">299792458/($A$6*10^6)*VALUE(LEFT(O16,1))/VALUE(MID(O16,3,1))</f>
        <v>#VALUE!</v>
      </c>
      <c r="P18" s="467">
        <f>299792458/($A$18/VALUE(LEFT(P17,1))*VALUE(MID(P17,3,1))*10^6)</f>
        <v>66.620546222222217</v>
      </c>
      <c r="Q18" s="468" t="e">
        <f t="shared" ref="Q18" si="20">299792458/($A$6*10^6)*VALUE(LEFT(Q16,1))/VALUE(MID(Q16,3,1))</f>
        <v>#VALUE!</v>
      </c>
    </row>
    <row r="19" spans="1:17" ht="13.5" thickBot="1" x14ac:dyDescent="0.25">
      <c r="A19" s="482"/>
      <c r="B19" s="483"/>
      <c r="C19" s="484"/>
      <c r="D19" s="469">
        <f t="shared" ref="D19:E19" si="21">299792458/($A$6*10^6)*VALUE(LEFT(D17,1))/VALUE(MID(D17,3,1))</f>
        <v>29.979245799999998</v>
      </c>
      <c r="E19" s="470" t="e">
        <f t="shared" si="21"/>
        <v>#VALUE!</v>
      </c>
      <c r="F19" s="469"/>
      <c r="G19" s="470"/>
      <c r="H19" s="469">
        <f t="shared" ref="H19:I19" si="22">299792458/($A$6*10^6)*VALUE(LEFT(H17,1))/VALUE(MID(H17,3,1))</f>
        <v>12.491352416666665</v>
      </c>
      <c r="I19" s="470" t="e">
        <f t="shared" si="22"/>
        <v>#VALUE!</v>
      </c>
      <c r="J19" s="477">
        <f t="shared" ref="J19:K19" si="23">299792458/($A$6*10^6)*VALUE(LEFT(J17,1))/VALUE(MID(J17,3,1))</f>
        <v>9.9930819333333325</v>
      </c>
      <c r="K19" s="478" t="e">
        <f t="shared" si="23"/>
        <v>#VALUE!</v>
      </c>
      <c r="L19" s="477">
        <f t="shared" ref="L19:Q19" si="24">299792458/($A$6*10^6)*VALUE(LEFT(L17,1))/VALUE(MID(L17,3,1))</f>
        <v>4.9965409666666663</v>
      </c>
      <c r="M19" s="478" t="e">
        <f t="shared" si="24"/>
        <v>#VALUE!</v>
      </c>
      <c r="N19" s="469">
        <f t="shared" si="24"/>
        <v>3.3310273111111108</v>
      </c>
      <c r="O19" s="470" t="e">
        <f t="shared" si="24"/>
        <v>#VALUE!</v>
      </c>
      <c r="P19" s="469">
        <f t="shared" si="24"/>
        <v>2.2206848740740739</v>
      </c>
      <c r="Q19" s="470" t="e">
        <f t="shared" si="24"/>
        <v>#VALUE!</v>
      </c>
    </row>
    <row r="20" spans="1:17" ht="13.15" customHeight="1" x14ac:dyDescent="0.2">
      <c r="A20" s="485" t="s">
        <v>157</v>
      </c>
      <c r="B20" s="486"/>
      <c r="C20" s="486"/>
      <c r="D20" s="471" t="s">
        <v>158</v>
      </c>
      <c r="E20" s="472"/>
      <c r="F20" s="471" t="s">
        <v>159</v>
      </c>
      <c r="G20" s="472"/>
      <c r="H20" s="471" t="s">
        <v>160</v>
      </c>
      <c r="I20" s="472"/>
      <c r="J20" s="489" t="s">
        <v>167</v>
      </c>
      <c r="K20" s="490"/>
      <c r="L20" s="471" t="s">
        <v>162</v>
      </c>
      <c r="M20" s="472"/>
      <c r="N20" s="471" t="s">
        <v>163</v>
      </c>
      <c r="O20" s="472"/>
      <c r="P20" s="471" t="s">
        <v>163</v>
      </c>
      <c r="Q20" s="472"/>
    </row>
    <row r="21" spans="1:17" ht="47.45" customHeight="1" thickBot="1" x14ac:dyDescent="0.25">
      <c r="A21" s="487"/>
      <c r="B21" s="488"/>
      <c r="C21" s="488"/>
      <c r="D21" s="473"/>
      <c r="E21" s="474"/>
      <c r="F21" s="473"/>
      <c r="G21" s="474"/>
      <c r="H21" s="473"/>
      <c r="I21" s="474"/>
      <c r="J21" s="491"/>
      <c r="K21" s="492"/>
      <c r="L21" s="473"/>
      <c r="M21" s="474"/>
      <c r="N21" s="473"/>
      <c r="O21" s="474"/>
      <c r="P21" s="473"/>
      <c r="Q21" s="474"/>
    </row>
    <row r="22" spans="1:17" ht="13.5" thickBot="1" x14ac:dyDescent="0.25">
      <c r="A22" s="117"/>
      <c r="B22" s="118"/>
      <c r="C22" s="118"/>
      <c r="D22" s="118"/>
      <c r="E22" s="118"/>
      <c r="F22" s="118"/>
      <c r="G22" s="118"/>
      <c r="H22" s="118"/>
      <c r="I22" s="118"/>
      <c r="J22" s="118"/>
      <c r="K22" s="118"/>
      <c r="L22" s="118"/>
      <c r="M22" s="118"/>
      <c r="N22" s="118"/>
      <c r="O22" s="118"/>
      <c r="P22" s="118"/>
      <c r="Q22" s="119"/>
    </row>
    <row r="23" spans="1:17" ht="15" customHeight="1" thickBot="1" x14ac:dyDescent="0.25">
      <c r="A23" s="409" t="s">
        <v>168</v>
      </c>
      <c r="B23" s="410"/>
      <c r="C23" s="410"/>
      <c r="D23" s="410"/>
      <c r="E23" s="410"/>
      <c r="F23" s="411"/>
      <c r="G23" s="118"/>
      <c r="H23" s="409" t="s">
        <v>169</v>
      </c>
      <c r="I23" s="410"/>
      <c r="J23" s="410"/>
      <c r="K23" s="410"/>
      <c r="L23" s="410"/>
      <c r="M23" s="411"/>
      <c r="N23" s="118"/>
      <c r="O23" s="118"/>
      <c r="P23" s="118"/>
      <c r="Q23" s="119"/>
    </row>
    <row r="24" spans="1:17" ht="14.45" customHeight="1" x14ac:dyDescent="0.2">
      <c r="A24" s="412" t="s">
        <v>170</v>
      </c>
      <c r="B24" s="425" t="s">
        <v>171</v>
      </c>
      <c r="C24" s="426"/>
      <c r="D24" s="429" t="s">
        <v>172</v>
      </c>
      <c r="E24" s="425" t="s">
        <v>173</v>
      </c>
      <c r="F24" s="432"/>
      <c r="G24" s="118"/>
      <c r="H24" s="412" t="s">
        <v>174</v>
      </c>
      <c r="I24" s="425" t="s">
        <v>175</v>
      </c>
      <c r="J24" s="426"/>
      <c r="K24" s="429" t="s">
        <v>172</v>
      </c>
      <c r="L24" s="425" t="s">
        <v>176</v>
      </c>
      <c r="M24" s="432"/>
      <c r="N24" s="118"/>
      <c r="O24" s="118"/>
      <c r="P24" s="118"/>
      <c r="Q24" s="119"/>
    </row>
    <row r="25" spans="1:17" ht="14.45" customHeight="1" x14ac:dyDescent="0.2">
      <c r="A25" s="413"/>
      <c r="B25" s="427"/>
      <c r="C25" s="428"/>
      <c r="D25" s="430"/>
      <c r="E25" s="427"/>
      <c r="F25" s="433"/>
      <c r="G25" s="118"/>
      <c r="H25" s="413"/>
      <c r="I25" s="427"/>
      <c r="J25" s="428"/>
      <c r="K25" s="430"/>
      <c r="L25" s="427"/>
      <c r="M25" s="433"/>
      <c r="N25" s="118"/>
      <c r="O25" s="118"/>
      <c r="P25" s="118"/>
      <c r="Q25" s="119"/>
    </row>
    <row r="26" spans="1:17" ht="14.45" customHeight="1" x14ac:dyDescent="0.2">
      <c r="A26" s="413"/>
      <c r="B26" s="450">
        <v>20</v>
      </c>
      <c r="C26" s="451"/>
      <c r="D26" s="430"/>
      <c r="E26" s="454">
        <f>IF(B24=E24,B26,IF(AND(B24="Watts (W)",E24="Decibel Milliwatts (dBm)"),10*LOG10(B26)+30,IF(AND(B24="Decibel Milliwatts (dBm)",E24="Watts (W)"),10^(B26/10)/1000,"Error")))</f>
        <v>43.010299956639813</v>
      </c>
      <c r="F26" s="455"/>
      <c r="G26" s="118"/>
      <c r="H26" s="413"/>
      <c r="I26" s="434">
        <v>6400</v>
      </c>
      <c r="J26" s="435"/>
      <c r="K26" s="430"/>
      <c r="L26" s="438">
        <f>IF(I24=L24,I26,IF(AND(I24="Degrees (°)",L24="Mils"),I26*(160/9),IF(AND(I24="Mils",L24="Degrees (°)"),I26*(9/160),"Error")))</f>
        <v>360</v>
      </c>
      <c r="M26" s="439"/>
      <c r="N26" s="118"/>
      <c r="O26" s="118"/>
      <c r="P26" s="118"/>
      <c r="Q26" s="119"/>
    </row>
    <row r="27" spans="1:17" ht="15" customHeight="1" thickBot="1" x14ac:dyDescent="0.25">
      <c r="A27" s="414"/>
      <c r="B27" s="452"/>
      <c r="C27" s="453"/>
      <c r="D27" s="442"/>
      <c r="E27" s="456"/>
      <c r="F27" s="457"/>
      <c r="G27" s="118"/>
      <c r="H27" s="414"/>
      <c r="I27" s="436"/>
      <c r="J27" s="437"/>
      <c r="K27" s="442"/>
      <c r="L27" s="440"/>
      <c r="M27" s="441"/>
      <c r="N27" s="118"/>
      <c r="O27" s="118"/>
      <c r="P27" s="118"/>
      <c r="Q27" s="119"/>
    </row>
    <row r="28" spans="1:17" ht="14.45" customHeight="1" x14ac:dyDescent="0.2">
      <c r="A28" s="447" t="s">
        <v>177</v>
      </c>
      <c r="B28" s="425" t="s">
        <v>101</v>
      </c>
      <c r="C28" s="426"/>
      <c r="D28" s="429" t="s">
        <v>172</v>
      </c>
      <c r="E28" s="425" t="s">
        <v>107</v>
      </c>
      <c r="F28" s="426"/>
      <c r="G28" s="118"/>
      <c r="H28" s="447" t="s">
        <v>178</v>
      </c>
      <c r="I28" s="443" t="s">
        <v>179</v>
      </c>
      <c r="J28" s="444"/>
      <c r="K28" s="429" t="s">
        <v>180</v>
      </c>
      <c r="L28" s="445" t="s">
        <v>181</v>
      </c>
      <c r="M28" s="446"/>
      <c r="N28" s="118"/>
      <c r="O28" s="118"/>
      <c r="P28" s="118"/>
      <c r="Q28" s="119"/>
    </row>
    <row r="29" spans="1:17" ht="16.149999999999999" customHeight="1" x14ac:dyDescent="0.2">
      <c r="A29" s="448"/>
      <c r="B29" s="427"/>
      <c r="C29" s="428"/>
      <c r="D29" s="430"/>
      <c r="E29" s="427"/>
      <c r="F29" s="428"/>
      <c r="G29" s="118"/>
      <c r="H29" s="448"/>
      <c r="I29" s="167" t="s">
        <v>182</v>
      </c>
      <c r="J29" s="163">
        <v>42290</v>
      </c>
      <c r="K29" s="430"/>
      <c r="L29" s="168" t="s">
        <v>182</v>
      </c>
      <c r="M29" s="164">
        <v>42636</v>
      </c>
      <c r="N29" s="118"/>
      <c r="O29" s="118"/>
      <c r="P29" s="118"/>
      <c r="Q29" s="119"/>
    </row>
    <row r="30" spans="1:17" ht="19.899999999999999" customHeight="1" x14ac:dyDescent="0.2">
      <c r="A30" s="448"/>
      <c r="B30" s="450">
        <v>20</v>
      </c>
      <c r="C30" s="451"/>
      <c r="D30" s="430"/>
      <c r="E30" s="454">
        <f>IF(B28=E28,B30,IF(AND(B28="dBd",E28="dBi"),B30+2.15,IF(AND(B28="dBi",E28="dBd"),B30-2.15,"Error")))</f>
        <v>17.850000000000001</v>
      </c>
      <c r="F30" s="455"/>
      <c r="G30" s="118"/>
      <c r="H30" s="448"/>
      <c r="I30" s="167" t="s">
        <v>183</v>
      </c>
      <c r="J30" s="163">
        <v>30310</v>
      </c>
      <c r="K30" s="430"/>
      <c r="L30" s="168" t="s">
        <v>183</v>
      </c>
      <c r="M30" s="164">
        <v>31263</v>
      </c>
      <c r="N30" s="118"/>
      <c r="O30" s="118"/>
      <c r="P30" s="118"/>
      <c r="Q30" s="119"/>
    </row>
    <row r="31" spans="1:17" ht="18" customHeight="1" thickBot="1" x14ac:dyDescent="0.25">
      <c r="A31" s="449"/>
      <c r="B31" s="452"/>
      <c r="C31" s="453"/>
      <c r="D31" s="442"/>
      <c r="E31" s="456"/>
      <c r="F31" s="457"/>
      <c r="G31" s="118"/>
      <c r="H31" s="448"/>
      <c r="I31" s="167" t="s">
        <v>184</v>
      </c>
      <c r="J31" s="165">
        <v>240</v>
      </c>
      <c r="K31" s="431"/>
      <c r="L31" s="168" t="s">
        <v>184</v>
      </c>
      <c r="M31" s="166">
        <v>325</v>
      </c>
      <c r="N31" s="118"/>
      <c r="O31" s="118"/>
      <c r="P31" s="118"/>
      <c r="Q31" s="119"/>
    </row>
    <row r="32" spans="1:17" ht="14.45" customHeight="1" x14ac:dyDescent="0.2">
      <c r="A32" s="447" t="s">
        <v>185</v>
      </c>
      <c r="B32" s="425" t="s">
        <v>186</v>
      </c>
      <c r="C32" s="426"/>
      <c r="D32" s="429" t="s">
        <v>172</v>
      </c>
      <c r="E32" s="425" t="s">
        <v>187</v>
      </c>
      <c r="F32" s="432"/>
      <c r="G32" s="118"/>
      <c r="H32" s="448"/>
      <c r="I32" s="419" t="s">
        <v>188</v>
      </c>
      <c r="J32" s="420"/>
      <c r="K32" s="421"/>
      <c r="L32" s="415" t="str">
        <f>INT((M29)+((INT((((M29)-(J29))+(J30)*TAN(IF(J31+180&lt;=360,(J31+180)*PI()/180,(J31-180)*PI()/180))-(M30)*TAN(IF(M31+180&lt;=360,(M31+180)*PI()/180,(M31-180)*PI()/180)))/(TAN(IF(J31+180&lt;=360,(J31+180)*PI()/180,(J31-180)*PI()/180))-TAN(IF(M31+180&lt;=360,(M31+180)*PI()/180,(M31-180)*PI()/180)))))-(M30))*TAN(IF(M31+180&lt;=360,(M31+180)*PI()/180,(M31-180)*PI()/180)))&amp;" "&amp;INT((((M29)-(J29))+(J30)*TAN(IF(J31+180&lt;=360,(J31+180)*PI()/180,(J31-180)*PI()/180))-(M30)*TAN(IF(M31+180&lt;=360,(M31+180)*PI()/180,(M31-180)*PI()/180)))/(TAN(IF(J31+180&lt;=360,(J31+180)*PI()/180,(J31-180)*PI()/180))-TAN(IF(M31+180&lt;=360,(M31+180)*PI()/180,(M31-180)*PI()/180))))</f>
        <v>43012 30726</v>
      </c>
      <c r="M32" s="416"/>
      <c r="N32" s="118"/>
      <c r="O32" s="118"/>
      <c r="P32" s="118"/>
      <c r="Q32" s="119"/>
    </row>
    <row r="33" spans="1:17" ht="14.45" customHeight="1" thickBot="1" x14ac:dyDescent="0.25">
      <c r="A33" s="448"/>
      <c r="B33" s="427"/>
      <c r="C33" s="428"/>
      <c r="D33" s="430"/>
      <c r="E33" s="427"/>
      <c r="F33" s="433"/>
      <c r="G33" s="118"/>
      <c r="H33" s="449"/>
      <c r="I33" s="422"/>
      <c r="J33" s="423"/>
      <c r="K33" s="424"/>
      <c r="L33" s="417"/>
      <c r="M33" s="418"/>
      <c r="N33" s="118"/>
      <c r="O33" s="118"/>
      <c r="P33" s="118"/>
      <c r="Q33" s="119"/>
    </row>
    <row r="34" spans="1:17" x14ac:dyDescent="0.2">
      <c r="A34" s="448"/>
      <c r="B34" s="450">
        <v>32</v>
      </c>
      <c r="C34" s="451"/>
      <c r="D34" s="430"/>
      <c r="E34" s="454">
        <f>IF(B32=E32,B34,IF(AND(B32="Meters (M)",E32="Feet (ft.)"),B34*3.28084,IF(AND(B32="Feet (ft.)",E32="Meters (m)"),B34/3.28084,"Error")))</f>
        <v>9.7535996878848099</v>
      </c>
      <c r="F34" s="455"/>
      <c r="G34" s="118"/>
      <c r="H34" s="118"/>
      <c r="I34" s="118"/>
      <c r="J34" s="118"/>
      <c r="K34" s="118"/>
      <c r="L34" s="118"/>
      <c r="M34" s="118"/>
      <c r="N34" s="118"/>
      <c r="O34" s="118"/>
      <c r="P34" s="118"/>
      <c r="Q34" s="119"/>
    </row>
    <row r="35" spans="1:17" ht="13.5" thickBot="1" x14ac:dyDescent="0.25">
      <c r="A35" s="449"/>
      <c r="B35" s="452"/>
      <c r="C35" s="453"/>
      <c r="D35" s="442"/>
      <c r="E35" s="456"/>
      <c r="F35" s="457"/>
      <c r="G35" s="118"/>
      <c r="H35" s="118"/>
      <c r="I35" s="118"/>
      <c r="J35" s="118"/>
      <c r="K35" s="118"/>
      <c r="L35" s="118"/>
      <c r="M35" s="118"/>
      <c r="N35" s="118"/>
      <c r="O35" s="118"/>
      <c r="P35" s="118"/>
      <c r="Q35" s="119"/>
    </row>
    <row r="36" spans="1:17" x14ac:dyDescent="0.2">
      <c r="A36" s="447" t="s">
        <v>189</v>
      </c>
      <c r="B36" s="425" t="s">
        <v>190</v>
      </c>
      <c r="C36" s="426"/>
      <c r="D36" s="429" t="s">
        <v>172</v>
      </c>
      <c r="E36" s="425" t="s">
        <v>191</v>
      </c>
      <c r="F36" s="432"/>
      <c r="G36" s="118"/>
      <c r="H36" s="118"/>
      <c r="I36" s="118" t="s">
        <v>192</v>
      </c>
      <c r="J36" s="118"/>
      <c r="K36" s="118"/>
      <c r="L36" s="118"/>
      <c r="M36" s="118"/>
      <c r="N36" s="118"/>
      <c r="O36" s="118"/>
      <c r="P36" s="118"/>
      <c r="Q36" s="119"/>
    </row>
    <row r="37" spans="1:17" x14ac:dyDescent="0.2">
      <c r="A37" s="448"/>
      <c r="B37" s="427"/>
      <c r="C37" s="428"/>
      <c r="D37" s="430"/>
      <c r="E37" s="427"/>
      <c r="F37" s="433"/>
      <c r="G37" s="118"/>
      <c r="H37" s="118"/>
      <c r="I37" s="118" t="s">
        <v>193</v>
      </c>
      <c r="J37" s="118"/>
      <c r="K37" s="118"/>
      <c r="L37" s="118"/>
      <c r="M37" s="118"/>
      <c r="N37" s="118"/>
      <c r="O37" s="118"/>
      <c r="P37" s="118"/>
      <c r="Q37" s="119"/>
    </row>
    <row r="38" spans="1:17" x14ac:dyDescent="0.2">
      <c r="A38" s="448"/>
      <c r="B38" s="450">
        <v>4.37</v>
      </c>
      <c r="C38" s="451"/>
      <c r="D38" s="430"/>
      <c r="E38" s="454">
        <f>IF(B36=E36,B38,IF(AND(B36="Miles (mi)",E36="Kilometers (km)"),B38*1.60934,IF(AND(B36="Miles (mi)",E36="Nautical Miles (nm)"),B38/1.15078,IF(AND(B36="Kilometers (km)",E36="Miles (mi)"),B38/1.60934,IF(AND(B36="Kilometers (km)",E36="Nautical Miles (nm)"),B38/1.852,IF(AND(B36="Nautical Miles (nm)",E36="Miles (mi)"),B38*1.15078,IF(AND(B36="Nautical Miles (nm)",E36="Kilometers (km)"),B38*1.852,"Error")))))))</f>
        <v>2.7153988591596554</v>
      </c>
      <c r="F38" s="455"/>
      <c r="G38" s="118"/>
      <c r="H38" s="118"/>
      <c r="I38" s="118"/>
      <c r="J38" s="118"/>
      <c r="K38" s="118"/>
      <c r="L38" s="118"/>
      <c r="M38" s="118"/>
      <c r="N38" s="118"/>
      <c r="O38" s="118"/>
      <c r="P38" s="118"/>
      <c r="Q38" s="119"/>
    </row>
    <row r="39" spans="1:17" ht="13.5" thickBot="1" x14ac:dyDescent="0.25">
      <c r="A39" s="449"/>
      <c r="B39" s="452"/>
      <c r="C39" s="453"/>
      <c r="D39" s="442"/>
      <c r="E39" s="456"/>
      <c r="F39" s="457"/>
      <c r="G39" s="118"/>
      <c r="H39" s="118"/>
      <c r="I39" s="118"/>
      <c r="J39" s="118"/>
      <c r="K39" s="118"/>
      <c r="L39" s="118"/>
      <c r="M39" s="118"/>
      <c r="N39" s="118"/>
      <c r="O39" s="118"/>
      <c r="P39" s="118"/>
      <c r="Q39" s="119"/>
    </row>
    <row r="40" spans="1:17" x14ac:dyDescent="0.2">
      <c r="A40" s="412" t="s">
        <v>194</v>
      </c>
      <c r="B40" s="425" t="s">
        <v>195</v>
      </c>
      <c r="C40" s="426"/>
      <c r="D40" s="429" t="s">
        <v>172</v>
      </c>
      <c r="E40" s="425" t="s">
        <v>196</v>
      </c>
      <c r="F40" s="432"/>
      <c r="G40" s="118"/>
      <c r="H40" s="118"/>
      <c r="I40" s="118"/>
      <c r="J40" s="118"/>
      <c r="K40" s="118"/>
      <c r="L40" s="118"/>
      <c r="M40" s="118"/>
      <c r="N40" s="118"/>
      <c r="O40" s="118"/>
      <c r="P40" s="118"/>
      <c r="Q40" s="119"/>
    </row>
    <row r="41" spans="1:17" x14ac:dyDescent="0.2">
      <c r="A41" s="413"/>
      <c r="B41" s="427"/>
      <c r="C41" s="428"/>
      <c r="D41" s="430"/>
      <c r="E41" s="427"/>
      <c r="F41" s="433"/>
      <c r="G41" s="118"/>
      <c r="H41" s="118"/>
      <c r="I41" s="118"/>
      <c r="J41" s="118"/>
      <c r="K41" s="118"/>
      <c r="L41" s="118"/>
      <c r="M41" s="118"/>
      <c r="N41" s="118"/>
      <c r="O41" s="118"/>
      <c r="P41" s="118"/>
      <c r="Q41" s="119"/>
    </row>
    <row r="42" spans="1:17" x14ac:dyDescent="0.2">
      <c r="A42" s="413"/>
      <c r="B42" s="450">
        <v>23</v>
      </c>
      <c r="C42" s="451"/>
      <c r="D42" s="430"/>
      <c r="E42" s="454">
        <f>IF(B40=E40,B42,IF(AND(B40="Square Meters (m2)",E40="Acres"),B42/4046.86,IF(AND(B40="Square Meters (m2)",E40="Square Kilometers (km2)"),B42/(10^6),IF(AND(B40="Square Kilometers (km2)",E40="Square Meters (m2)"),B42*(10^6),IF(AND(B40="Square Kilometers (km2)",E40="Acres"),B42*247.105,IF(AND(B40="Acres",E40="Square Meters (m2)"),B42*4046.86,IF(AND(B40="Acres",E40="Square Kilometers (km2)"),B42/247.105,"Error")))))))</f>
        <v>9.3077841403451975E-2</v>
      </c>
      <c r="F42" s="455"/>
      <c r="G42" s="118"/>
      <c r="H42" s="118"/>
      <c r="I42" s="118"/>
      <c r="J42" s="118"/>
      <c r="K42" s="118"/>
      <c r="L42" s="118"/>
      <c r="M42" s="118"/>
      <c r="N42" s="118"/>
      <c r="O42" s="118"/>
      <c r="P42" s="118"/>
      <c r="Q42" s="119"/>
    </row>
    <row r="43" spans="1:17" ht="13.5" thickBot="1" x14ac:dyDescent="0.25">
      <c r="A43" s="414"/>
      <c r="B43" s="452"/>
      <c r="C43" s="453"/>
      <c r="D43" s="442"/>
      <c r="E43" s="456"/>
      <c r="F43" s="457"/>
      <c r="G43" s="118"/>
      <c r="H43" s="118"/>
      <c r="I43" s="118"/>
      <c r="J43" s="118"/>
      <c r="K43" s="118"/>
      <c r="L43" s="118"/>
      <c r="M43" s="118"/>
      <c r="N43" s="118"/>
      <c r="O43" s="118"/>
      <c r="P43" s="118"/>
      <c r="Q43" s="119"/>
    </row>
    <row r="44" spans="1:17" x14ac:dyDescent="0.2">
      <c r="A44" s="412" t="s">
        <v>197</v>
      </c>
      <c r="B44" s="425" t="s">
        <v>198</v>
      </c>
      <c r="C44" s="426"/>
      <c r="D44" s="429" t="s">
        <v>172</v>
      </c>
      <c r="E44" s="425" t="s">
        <v>199</v>
      </c>
      <c r="F44" s="432"/>
      <c r="G44" s="118"/>
      <c r="H44" s="118"/>
      <c r="I44" s="118"/>
      <c r="J44" s="118"/>
      <c r="K44" s="118"/>
      <c r="L44" s="118"/>
      <c r="M44" s="118"/>
      <c r="N44" s="118"/>
      <c r="O44" s="118"/>
      <c r="P44" s="118"/>
      <c r="Q44" s="119"/>
    </row>
    <row r="45" spans="1:17" x14ac:dyDescent="0.2">
      <c r="A45" s="413"/>
      <c r="B45" s="427"/>
      <c r="C45" s="428"/>
      <c r="D45" s="430"/>
      <c r="E45" s="427"/>
      <c r="F45" s="433"/>
      <c r="G45" s="118"/>
      <c r="H45" s="118"/>
      <c r="I45" s="118"/>
      <c r="J45" s="118"/>
      <c r="K45" s="118"/>
      <c r="L45" s="118"/>
      <c r="M45" s="118"/>
      <c r="N45" s="118"/>
      <c r="O45" s="118"/>
      <c r="P45" s="118"/>
      <c r="Q45" s="119"/>
    </row>
    <row r="46" spans="1:17" x14ac:dyDescent="0.2">
      <c r="A46" s="413"/>
      <c r="B46" s="450">
        <v>50</v>
      </c>
      <c r="C46" s="451"/>
      <c r="D46" s="430"/>
      <c r="E46" s="454">
        <f>IF(B44=E44,B46,IF(AND(B44="Miles per Hour (mph)",E44="Kilometers per Hour (kph)"),B46*1.60934,IF(AND(B44="Kilometers per Hour (kph)",E44="Miles per Hour (mph)"),B46/1.60934,"Error")))</f>
        <v>31.068636832490338</v>
      </c>
      <c r="F46" s="455"/>
      <c r="G46" s="118"/>
      <c r="H46" s="118"/>
      <c r="I46" s="118"/>
      <c r="J46" s="118"/>
      <c r="K46" s="118"/>
      <c r="L46" s="118"/>
      <c r="M46" s="118"/>
      <c r="N46" s="118"/>
      <c r="O46" s="118"/>
      <c r="P46" s="118"/>
      <c r="Q46" s="119"/>
    </row>
    <row r="47" spans="1:17" ht="13.5" thickBot="1" x14ac:dyDescent="0.25">
      <c r="A47" s="414"/>
      <c r="B47" s="452"/>
      <c r="C47" s="453"/>
      <c r="D47" s="442"/>
      <c r="E47" s="456"/>
      <c r="F47" s="457"/>
      <c r="G47" s="118"/>
      <c r="H47" s="118"/>
      <c r="I47" s="118"/>
      <c r="J47" s="118"/>
      <c r="K47" s="118"/>
      <c r="L47" s="118"/>
      <c r="M47" s="118"/>
      <c r="N47" s="118"/>
      <c r="O47" s="118"/>
      <c r="P47" s="118"/>
      <c r="Q47" s="119"/>
    </row>
    <row r="48" spans="1:17" ht="13.5" thickBot="1" x14ac:dyDescent="0.25">
      <c r="A48" s="412" t="s">
        <v>200</v>
      </c>
      <c r="B48" s="425" t="s">
        <v>201</v>
      </c>
      <c r="C48" s="426"/>
      <c r="D48" s="429" t="s">
        <v>172</v>
      </c>
      <c r="E48" s="425" t="s">
        <v>202</v>
      </c>
      <c r="F48" s="432"/>
      <c r="G48" s="118"/>
      <c r="H48" s="118"/>
      <c r="I48" s="118"/>
      <c r="J48" s="118"/>
      <c r="K48" s="118"/>
      <c r="L48" s="118"/>
      <c r="M48" s="118"/>
      <c r="N48" s="118"/>
      <c r="O48" s="118"/>
      <c r="P48" s="118"/>
      <c r="Q48" s="119"/>
    </row>
    <row r="49" spans="1:17" x14ac:dyDescent="0.2">
      <c r="A49" s="413"/>
      <c r="B49" s="427"/>
      <c r="C49" s="428"/>
      <c r="D49" s="430"/>
      <c r="E49" s="427"/>
      <c r="F49" s="433"/>
      <c r="G49" s="118"/>
      <c r="H49" s="118"/>
      <c r="I49" s="118"/>
      <c r="J49" s="118"/>
      <c r="K49" s="118"/>
      <c r="L49" s="118"/>
      <c r="M49" s="118"/>
      <c r="N49" s="118"/>
      <c r="O49" s="290" t="s">
        <v>62</v>
      </c>
      <c r="P49" s="291"/>
      <c r="Q49" s="292"/>
    </row>
    <row r="50" spans="1:17" ht="14.45" customHeight="1" x14ac:dyDescent="0.2">
      <c r="A50" s="413"/>
      <c r="B50" s="450">
        <v>23</v>
      </c>
      <c r="C50" s="451"/>
      <c r="D50" s="430"/>
      <c r="E50" s="454">
        <f>IF(B48=E48,B50,IF(AND(B48="Fahrenheit (°F)",E48="Celsius (°C)"),(B50-32)*5/9,IF(AND(B48="Celsius (°C)",E48="Fahrenheit (°F)"),(B50*9/5)+32,"Error")))</f>
        <v>73.400000000000006</v>
      </c>
      <c r="F50" s="455"/>
      <c r="G50" s="118"/>
      <c r="H50" s="118"/>
      <c r="I50" s="118"/>
      <c r="J50" s="118"/>
      <c r="K50" s="118"/>
      <c r="L50" s="118"/>
      <c r="M50" s="118"/>
      <c r="N50" s="118"/>
      <c r="O50" s="115"/>
      <c r="P50" s="511" t="s">
        <v>63</v>
      </c>
      <c r="Q50" s="512"/>
    </row>
    <row r="51" spans="1:17" ht="15" customHeight="1" thickBot="1" x14ac:dyDescent="0.25">
      <c r="A51" s="414"/>
      <c r="B51" s="452"/>
      <c r="C51" s="453"/>
      <c r="D51" s="442"/>
      <c r="E51" s="456"/>
      <c r="F51" s="457"/>
      <c r="G51" s="118"/>
      <c r="H51" s="118"/>
      <c r="I51" s="118"/>
      <c r="J51" s="118"/>
      <c r="K51" s="118"/>
      <c r="L51" s="118"/>
      <c r="M51" s="118"/>
      <c r="N51" s="118"/>
      <c r="O51" s="116"/>
      <c r="P51" s="511" t="s">
        <v>64</v>
      </c>
      <c r="Q51" s="512"/>
    </row>
    <row r="52" spans="1:17" ht="15" customHeight="1" x14ac:dyDescent="0.2">
      <c r="A52" s="412" t="s">
        <v>203</v>
      </c>
      <c r="B52" s="425" t="s">
        <v>204</v>
      </c>
      <c r="C52" s="426"/>
      <c r="D52" s="429" t="s">
        <v>172</v>
      </c>
      <c r="E52" s="425" t="s">
        <v>205</v>
      </c>
      <c r="F52" s="432"/>
      <c r="G52" s="118"/>
      <c r="H52" s="118"/>
      <c r="I52" s="118"/>
      <c r="J52" s="118"/>
      <c r="K52" s="118"/>
      <c r="L52" s="118"/>
      <c r="M52" s="118"/>
      <c r="N52" s="118"/>
      <c r="O52" s="116"/>
      <c r="P52" s="195"/>
      <c r="Q52" s="196"/>
    </row>
    <row r="53" spans="1:17" ht="15" customHeight="1" x14ac:dyDescent="0.2">
      <c r="A53" s="413"/>
      <c r="B53" s="427"/>
      <c r="C53" s="428"/>
      <c r="D53" s="430"/>
      <c r="E53" s="427"/>
      <c r="F53" s="433"/>
      <c r="G53" s="118"/>
      <c r="H53" s="118"/>
      <c r="I53" s="118"/>
      <c r="J53" s="118"/>
      <c r="K53" s="118"/>
      <c r="L53" s="118"/>
      <c r="M53" s="118"/>
      <c r="N53" s="118"/>
      <c r="O53" s="116"/>
      <c r="P53" s="195"/>
      <c r="Q53" s="196"/>
    </row>
    <row r="54" spans="1:17" ht="15" customHeight="1" x14ac:dyDescent="0.2">
      <c r="A54" s="413"/>
      <c r="B54" s="450">
        <v>50</v>
      </c>
      <c r="C54" s="451"/>
      <c r="D54" s="430"/>
      <c r="E54" s="454">
        <f>IF(B52=E52,B54,IF(AND(B52="Pounds (lbs)",E52="Kilograms (kg)"),B54/2.20462,IF(AND(B52="Kilograms (kg)",E52="Pounds (lbs)"),B54*2.20462,"Error")))</f>
        <v>110.23099999999999</v>
      </c>
      <c r="F54" s="455"/>
      <c r="G54" s="118"/>
      <c r="H54" s="118"/>
      <c r="I54" s="118"/>
      <c r="J54" s="118"/>
      <c r="K54" s="118"/>
      <c r="L54" s="118"/>
      <c r="M54" s="118"/>
      <c r="N54" s="118"/>
      <c r="O54" s="116"/>
      <c r="P54" s="195"/>
      <c r="Q54" s="196"/>
    </row>
    <row r="55" spans="1:17" ht="15" customHeight="1" thickBot="1" x14ac:dyDescent="0.25">
      <c r="A55" s="414"/>
      <c r="B55" s="452"/>
      <c r="C55" s="453"/>
      <c r="D55" s="442"/>
      <c r="E55" s="456"/>
      <c r="F55" s="457"/>
      <c r="G55" s="118"/>
      <c r="H55" s="118"/>
      <c r="I55" s="118"/>
      <c r="J55" s="118"/>
      <c r="K55" s="118"/>
      <c r="L55" s="118"/>
      <c r="M55" s="118"/>
      <c r="N55" s="118"/>
      <c r="O55" s="171"/>
      <c r="P55" s="190"/>
      <c r="Q55" s="191"/>
    </row>
    <row r="56" spans="1:17" ht="13.5" thickBot="1" x14ac:dyDescent="0.25">
      <c r="A56" s="502" t="s">
        <v>19</v>
      </c>
      <c r="B56" s="503"/>
      <c r="C56" s="503"/>
      <c r="D56" s="503"/>
      <c r="E56" s="503"/>
      <c r="F56" s="503"/>
      <c r="G56" s="503"/>
      <c r="H56" s="503"/>
      <c r="I56" s="503"/>
      <c r="J56" s="503"/>
      <c r="K56" s="503"/>
      <c r="L56" s="503"/>
      <c r="M56" s="503"/>
      <c r="N56" s="503"/>
      <c r="O56" s="503"/>
      <c r="P56" s="503"/>
      <c r="Q56" s="504"/>
    </row>
  </sheetData>
  <mergeCells count="117">
    <mergeCell ref="B50:C51"/>
    <mergeCell ref="E50:F51"/>
    <mergeCell ref="B32:C33"/>
    <mergeCell ref="E32:F33"/>
    <mergeCell ref="D32:D35"/>
    <mergeCell ref="B36:C37"/>
    <mergeCell ref="D36:D39"/>
    <mergeCell ref="E36:F37"/>
    <mergeCell ref="A36:A39"/>
    <mergeCell ref="A40:A43"/>
    <mergeCell ref="A44:A47"/>
    <mergeCell ref="B38:C39"/>
    <mergeCell ref="E38:F39"/>
    <mergeCell ref="A56:Q56"/>
    <mergeCell ref="O49:Q49"/>
    <mergeCell ref="P50:Q50"/>
    <mergeCell ref="P51:Q51"/>
    <mergeCell ref="B40:C41"/>
    <mergeCell ref="D40:D43"/>
    <mergeCell ref="E40:F41"/>
    <mergeCell ref="B42:C43"/>
    <mergeCell ref="E42:F43"/>
    <mergeCell ref="B44:C45"/>
    <mergeCell ref="D44:D47"/>
    <mergeCell ref="E44:F45"/>
    <mergeCell ref="B46:C47"/>
    <mergeCell ref="E46:F47"/>
    <mergeCell ref="A48:A51"/>
    <mergeCell ref="A52:A55"/>
    <mergeCell ref="B52:C53"/>
    <mergeCell ref="D52:D55"/>
    <mergeCell ref="E52:F53"/>
    <mergeCell ref="B54:C55"/>
    <mergeCell ref="E54:F55"/>
    <mergeCell ref="B48:C49"/>
    <mergeCell ref="D48:D51"/>
    <mergeCell ref="E48:F49"/>
    <mergeCell ref="A1:Q1"/>
    <mergeCell ref="A11:C12"/>
    <mergeCell ref="D11:E12"/>
    <mergeCell ref="F11:G12"/>
    <mergeCell ref="H11:I12"/>
    <mergeCell ref="J11:K12"/>
    <mergeCell ref="D5:E5"/>
    <mergeCell ref="F5:G5"/>
    <mergeCell ref="H5:I5"/>
    <mergeCell ref="J5:K5"/>
    <mergeCell ref="A6:C10"/>
    <mergeCell ref="A4:C4"/>
    <mergeCell ref="A2:Q2"/>
    <mergeCell ref="A3:Q3"/>
    <mergeCell ref="A5:C5"/>
    <mergeCell ref="L5:M5"/>
    <mergeCell ref="N5:O5"/>
    <mergeCell ref="P5:Q5"/>
    <mergeCell ref="D4:Q4"/>
    <mergeCell ref="L11:M12"/>
    <mergeCell ref="N11:O12"/>
    <mergeCell ref="P11:Q12"/>
    <mergeCell ref="A16:C16"/>
    <mergeCell ref="D16:Q16"/>
    <mergeCell ref="A17:C17"/>
    <mergeCell ref="D17:E17"/>
    <mergeCell ref="F17:G17"/>
    <mergeCell ref="H17:I17"/>
    <mergeCell ref="J17:K17"/>
    <mergeCell ref="L17:M17"/>
    <mergeCell ref="N17:O17"/>
    <mergeCell ref="P17:Q17"/>
    <mergeCell ref="A13:Q13"/>
    <mergeCell ref="A14:Q14"/>
    <mergeCell ref="A15:Q15"/>
    <mergeCell ref="B26:C27"/>
    <mergeCell ref="E24:F25"/>
    <mergeCell ref="D18:E19"/>
    <mergeCell ref="B24:C25"/>
    <mergeCell ref="P20:Q21"/>
    <mergeCell ref="F18:G19"/>
    <mergeCell ref="H18:I19"/>
    <mergeCell ref="J18:K19"/>
    <mergeCell ref="L18:M19"/>
    <mergeCell ref="N18:O19"/>
    <mergeCell ref="P18:Q19"/>
    <mergeCell ref="A18:C19"/>
    <mergeCell ref="A20:C21"/>
    <mergeCell ref="D20:E21"/>
    <mergeCell ref="F20:G21"/>
    <mergeCell ref="H20:I21"/>
    <mergeCell ref="E26:F27"/>
    <mergeCell ref="D24:D27"/>
    <mergeCell ref="J20:K21"/>
    <mergeCell ref="L20:M21"/>
    <mergeCell ref="N20:O21"/>
    <mergeCell ref="A23:F23"/>
    <mergeCell ref="A24:A27"/>
    <mergeCell ref="L32:M33"/>
    <mergeCell ref="I32:K33"/>
    <mergeCell ref="H23:M23"/>
    <mergeCell ref="H24:H27"/>
    <mergeCell ref="I24:J25"/>
    <mergeCell ref="K28:K31"/>
    <mergeCell ref="L24:M25"/>
    <mergeCell ref="I26:J27"/>
    <mergeCell ref="L26:M27"/>
    <mergeCell ref="K24:K27"/>
    <mergeCell ref="I28:J28"/>
    <mergeCell ref="L28:M28"/>
    <mergeCell ref="H28:H33"/>
    <mergeCell ref="A28:A31"/>
    <mergeCell ref="B28:C29"/>
    <mergeCell ref="D28:D31"/>
    <mergeCell ref="E28:F29"/>
    <mergeCell ref="B30:C31"/>
    <mergeCell ref="E30:F31"/>
    <mergeCell ref="A32:A35"/>
    <mergeCell ref="B34:C35"/>
    <mergeCell ref="E34:F35"/>
  </mergeCells>
  <dataValidations count="12">
    <dataValidation type="decimal" operator="greaterThanOrEqual" showInputMessage="1" showErrorMessage="1" sqref="B26:C27 B34:C35 B42:C43 B50:C51 B38:C39 B46:C47 J31 M31 B54:C55 B30:C31" xr:uid="{B894DD0E-E9E8-405F-97FB-0D34486F69A0}">
      <formula1>0</formula1>
    </dataValidation>
    <dataValidation type="list" showInputMessage="1" showErrorMessage="1" sqref="B32:C33 E32:F33" xr:uid="{2CD15A9B-4ADF-4E98-85F7-D6469C6B0E4B}">
      <formula1>"Meters (m), Feet (ft.)"</formula1>
    </dataValidation>
    <dataValidation type="list" showInputMessage="1" showErrorMessage="1" sqref="B24:C25 E24:F25" xr:uid="{F5BEBC80-2CDA-4785-AB0C-C6FABBDDC8EF}">
      <formula1>"Watts (W), Decibel Milliwatts (dBm)"</formula1>
    </dataValidation>
    <dataValidation type="list" showInputMessage="1" showErrorMessage="1" sqref="B40:C41 E40:F41" xr:uid="{1A74C7DE-A0B0-4141-B372-26F9DBD343DD}">
      <formula1>"Square Meters (m2), Square Kilometers (km2), Acres"</formula1>
    </dataValidation>
    <dataValidation type="list" showInputMessage="1" showErrorMessage="1" sqref="B48:C49 E48:F49" xr:uid="{06001557-6587-49EC-AB5D-4368655CDC48}">
      <formula1>"Fahrenheit (°F), Celsius (°C)"</formula1>
    </dataValidation>
    <dataValidation type="list" showInputMessage="1" showErrorMessage="1" sqref="B36:C37 E36:F37" xr:uid="{09268144-5077-4519-9EB5-8A19501BAEDA}">
      <formula1>"Miles (mi), Kilometers (km), Nautical Miles (nm)"</formula1>
    </dataValidation>
    <dataValidation type="list" showInputMessage="1" showErrorMessage="1" sqref="B44:C45 E44:F45" xr:uid="{E012351D-FA5F-4E26-BABF-BA59E71905B2}">
      <formula1>"Miles per Hour (mph), Kilometers per Hour (kph)"</formula1>
    </dataValidation>
    <dataValidation type="list" showInputMessage="1" showErrorMessage="1" sqref="B52:C53 E52:F53" xr:uid="{CAB95492-3AD3-457A-B57C-65A41C0091D7}">
      <formula1>"Pounds (lbs), Kilograms (kg)"</formula1>
    </dataValidation>
    <dataValidation type="list" showInputMessage="1" showErrorMessage="1" sqref="I24:J25 L24:M25" xr:uid="{27B63F66-C3E2-4C0D-BF54-99B912DE67AA}">
      <formula1>"Degrees (°), Mils"</formula1>
    </dataValidation>
    <dataValidation type="whole" showInputMessage="1" showErrorMessage="1" sqref="I26:J27" xr:uid="{E1F319A4-5E7C-4B29-9C41-00D130E6775C}">
      <formula1>0</formula1>
      <formula2>6400</formula2>
    </dataValidation>
    <dataValidation type="whole" allowBlank="1" showInputMessage="1" showErrorMessage="1" sqref="J29:J30 M29:M30" xr:uid="{1B394E49-09BA-4FF2-A32B-EA15F6248057}">
      <formula1>10000</formula1>
      <formula2>99999</formula2>
    </dataValidation>
    <dataValidation type="list" showInputMessage="1" showErrorMessage="1" sqref="B28:C29 E28:F29" xr:uid="{0C97A087-4F19-45E4-9C2C-6EEF3A9A86B4}">
      <formula1>"dBd, dBi"</formula1>
    </dataValidation>
  </dataValidations>
  <pageMargins left="0.7" right="0.7" top="0.75" bottom="0.75" header="0.3" footer="0.3"/>
  <pageSetup orientation="portrait" horizontalDpi="300" verticalDpi="300" r:id="rId1"/>
  <ignoredErrors>
    <ignoredError sqref="I8:I10 F7:F10 E8:E10 G8:G10 H7:H10 I7:J7 K8:K10 K7:L7 M8:M10 M7:N7 O8:O10 O7:P7 J8:J10 L8:L10 N8:N10 P8:P10"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A1872-80EE-46B0-B0AF-0E2E77F2B5F1}">
  <sheetPr codeName="Sheet3"/>
  <dimension ref="A1:AA85"/>
  <sheetViews>
    <sheetView zoomScale="70" zoomScaleNormal="70" workbookViewId="0">
      <selection activeCell="G18" sqref="G18:O22"/>
    </sheetView>
  </sheetViews>
  <sheetFormatPr defaultColWidth="8.85546875" defaultRowHeight="15" x14ac:dyDescent="0.25"/>
  <cols>
    <col min="1" max="1" width="14.140625" style="1" customWidth="1"/>
    <col min="2" max="2" width="28.28515625" style="1" bestFit="1" customWidth="1"/>
    <col min="3" max="3" width="28.85546875" style="1" bestFit="1" customWidth="1"/>
    <col min="4" max="4" width="12.7109375" style="1" bestFit="1" customWidth="1"/>
    <col min="5" max="5" width="26.28515625" style="1" bestFit="1" customWidth="1"/>
    <col min="6" max="6" width="2.140625" style="1" customWidth="1"/>
    <col min="7" max="7" width="27.28515625" style="1" customWidth="1"/>
    <col min="8" max="8" width="12.5703125" style="1" customWidth="1"/>
    <col min="9" max="9" width="2.28515625" style="1" customWidth="1"/>
    <col min="10" max="10" width="12" style="1" customWidth="1"/>
    <col min="11" max="11" width="16" style="1" customWidth="1"/>
    <col min="12" max="12" width="12.5703125" style="69" customWidth="1"/>
    <col min="13" max="13" width="10.5703125" style="69" customWidth="1"/>
    <col min="14" max="14" width="10.28515625" style="1" customWidth="1"/>
    <col min="15" max="15" width="12.42578125" style="1" customWidth="1"/>
    <col min="16" max="16" width="27.42578125" style="1" customWidth="1"/>
    <col min="17" max="17" width="27.7109375" style="1" customWidth="1"/>
    <col min="18" max="18" width="2.28515625" style="1" customWidth="1"/>
    <col min="19" max="19" width="22.28515625" style="1" customWidth="1"/>
    <col min="20" max="20" width="10.7109375" style="1" bestFit="1" customWidth="1"/>
    <col min="21" max="21" width="17.42578125" style="1" bestFit="1" customWidth="1"/>
    <col min="22" max="22" width="31.5703125" style="1" bestFit="1" customWidth="1"/>
    <col min="23" max="24" width="20.28515625" style="1" bestFit="1" customWidth="1"/>
    <col min="25" max="25" width="8.85546875" style="1"/>
    <col min="26" max="26" width="11.42578125" style="1" customWidth="1"/>
    <col min="27" max="27" width="20.42578125" style="1" bestFit="1" customWidth="1"/>
    <col min="28" max="16384" width="8.85546875" style="1"/>
  </cols>
  <sheetData>
    <row r="1" spans="1:24" ht="16.5" thickBot="1" x14ac:dyDescent="0.3">
      <c r="A1" s="354" t="s">
        <v>19</v>
      </c>
      <c r="B1" s="355"/>
      <c r="C1" s="355"/>
      <c r="D1" s="355"/>
      <c r="E1" s="355"/>
      <c r="F1" s="355"/>
      <c r="G1" s="355"/>
      <c r="H1" s="355"/>
      <c r="I1" s="355"/>
      <c r="J1" s="355"/>
      <c r="K1" s="355"/>
      <c r="L1" s="355"/>
      <c r="M1" s="355"/>
      <c r="N1" s="355"/>
      <c r="O1" s="355"/>
      <c r="P1" s="355"/>
      <c r="Q1" s="355"/>
      <c r="R1" s="355"/>
      <c r="S1" s="355"/>
      <c r="T1" s="355"/>
      <c r="U1" s="355"/>
      <c r="V1" s="356"/>
      <c r="W1" s="187"/>
      <c r="X1" s="187"/>
    </row>
    <row r="2" spans="1:24" ht="16.5" thickBot="1" x14ac:dyDescent="0.3">
      <c r="A2" s="562" t="s">
        <v>206</v>
      </c>
      <c r="B2" s="563"/>
      <c r="C2" s="563"/>
      <c r="D2" s="563"/>
      <c r="E2" s="563"/>
      <c r="F2" s="572"/>
      <c r="G2" s="524" t="s">
        <v>207</v>
      </c>
      <c r="H2" s="524"/>
      <c r="I2" s="84"/>
      <c r="J2" s="562" t="s">
        <v>208</v>
      </c>
      <c r="K2" s="563"/>
      <c r="L2" s="563"/>
      <c r="M2" s="563"/>
      <c r="N2" s="563"/>
      <c r="O2" s="563"/>
      <c r="P2" s="563"/>
      <c r="Q2" s="563"/>
      <c r="R2" s="563"/>
      <c r="S2" s="563"/>
      <c r="T2" s="563"/>
      <c r="U2" s="563"/>
      <c r="V2" s="571"/>
      <c r="W2" s="187"/>
      <c r="X2" s="187"/>
    </row>
    <row r="3" spans="1:24" ht="15.75" thickBot="1" x14ac:dyDescent="0.3">
      <c r="A3" s="564" t="s">
        <v>209</v>
      </c>
      <c r="B3" s="565"/>
      <c r="C3" s="565"/>
      <c r="D3" s="565"/>
      <c r="E3" s="565"/>
      <c r="F3" s="573"/>
      <c r="G3" s="183" t="s">
        <v>210</v>
      </c>
      <c r="H3" s="133">
        <v>5.0000000000000001E-3</v>
      </c>
      <c r="I3" s="81"/>
      <c r="J3" s="566" t="str">
        <f>LEFT($A3,5)&amp;" (located at "&amp;IF(ISBLANK($B5),"",$H6)&amp;" "&amp;IF(ISBLANK($B5),"N/A",AVERAGE($B5:$B22))&amp;IF(ISBLANK($C5),""," "&amp;AVERAGE(C5:C22))&amp;")"</f>
        <v>EWT 1 (located at 17R MR 53000 55000)</v>
      </c>
      <c r="K3" s="567"/>
      <c r="L3" s="567"/>
      <c r="M3" s="567"/>
      <c r="N3" s="567"/>
      <c r="O3" s="567"/>
      <c r="P3" s="567"/>
      <c r="Q3" s="568"/>
      <c r="R3" s="593"/>
      <c r="S3" s="518" t="s">
        <v>211</v>
      </c>
      <c r="T3" s="519"/>
      <c r="U3" s="519"/>
      <c r="V3" s="520"/>
      <c r="W3" s="187"/>
      <c r="X3" s="187"/>
    </row>
    <row r="4" spans="1:24" ht="16.5" thickBot="1" x14ac:dyDescent="0.3">
      <c r="A4" s="53" t="s">
        <v>212</v>
      </c>
      <c r="B4" s="54" t="s">
        <v>213</v>
      </c>
      <c r="C4" s="54" t="s">
        <v>214</v>
      </c>
      <c r="D4" s="54" t="s">
        <v>215</v>
      </c>
      <c r="E4" s="70" t="s">
        <v>216</v>
      </c>
      <c r="F4" s="573"/>
      <c r="G4" s="182" t="s">
        <v>217</v>
      </c>
      <c r="H4" s="134">
        <v>50</v>
      </c>
      <c r="I4" s="81"/>
      <c r="J4" s="579" t="s">
        <v>218</v>
      </c>
      <c r="K4" s="549"/>
      <c r="L4" s="548" t="s">
        <v>219</v>
      </c>
      <c r="M4" s="549"/>
      <c r="N4" s="56" t="s">
        <v>220</v>
      </c>
      <c r="O4" s="70" t="s">
        <v>221</v>
      </c>
      <c r="P4" s="576" t="s">
        <v>222</v>
      </c>
      <c r="Q4" s="577"/>
      <c r="R4" s="594"/>
      <c r="S4" s="521"/>
      <c r="T4" s="522"/>
      <c r="U4" s="522"/>
      <c r="V4" s="523"/>
      <c r="W4" s="187"/>
      <c r="X4" s="187"/>
    </row>
    <row r="5" spans="1:24" ht="25.15" customHeight="1" thickBot="1" x14ac:dyDescent="0.3">
      <c r="A5" s="120">
        <v>60</v>
      </c>
      <c r="B5" s="123">
        <v>53000</v>
      </c>
      <c r="C5" s="123">
        <v>55000</v>
      </c>
      <c r="D5" s="127">
        <v>70</v>
      </c>
      <c r="E5" s="130">
        <v>-90</v>
      </c>
      <c r="F5" s="573"/>
      <c r="G5" s="522" t="s">
        <v>223</v>
      </c>
      <c r="H5" s="522"/>
      <c r="I5" s="81"/>
      <c r="J5" s="570" t="str">
        <f>"-"&amp;$H11&amp;"° Error"</f>
        <v>-6° Error</v>
      </c>
      <c r="K5" s="578" t="str">
        <f>"Min. Power ("&amp;$H3&amp;"W):"</f>
        <v>Min. Power (0.005W):</v>
      </c>
      <c r="L5" s="57">
        <f>IF((AVERAGE($D5:$D22)-$H11)&lt;0,ABS($H15*SIN($H12))*$H8*-1,IF(AND(AVERAGE(D5:D22)&gt;=180,AVERAGE(D5:D22)-H11&lt;180),ABS($H15*SIN($H12))*$H8*-1,ABS($H15*SIN($H12))*$H8))</f>
        <v>0.61695208695247294</v>
      </c>
      <c r="M5" s="550">
        <f>SQRT(($L5^2)+($L6^2))</f>
        <v>0.68642208912353886</v>
      </c>
      <c r="N5" s="58">
        <f>L5*$H10</f>
        <v>616.952086952473</v>
      </c>
      <c r="O5" s="59">
        <f>AVERAGE($B5:$B22)+N5</f>
        <v>53616.952086952471</v>
      </c>
      <c r="P5" s="569" t="str">
        <f>$H6&amp;" "&amp;INT(O5)&amp;" "&amp;INT(O6)</f>
        <v>17R MR 53616 55300</v>
      </c>
      <c r="Q5" s="580" t="str">
        <f>$H6&amp;" "&amp;INT(AVERAGE(O5,O7))&amp;" "&amp;INT(AVERAGE(O6,O8))</f>
        <v>17R MR 56393 56654</v>
      </c>
      <c r="R5" s="594"/>
      <c r="S5" s="401" t="s">
        <v>224</v>
      </c>
      <c r="T5" s="402"/>
      <c r="U5" s="403"/>
      <c r="V5" s="87" t="s">
        <v>225</v>
      </c>
      <c r="W5" s="88"/>
      <c r="X5" s="88"/>
    </row>
    <row r="6" spans="1:24" ht="18" customHeight="1" x14ac:dyDescent="0.25">
      <c r="A6" s="121"/>
      <c r="B6" s="124"/>
      <c r="C6" s="124"/>
      <c r="D6" s="128"/>
      <c r="E6" s="131"/>
      <c r="F6" s="573"/>
      <c r="G6" s="183" t="s">
        <v>226</v>
      </c>
      <c r="H6" s="135" t="s">
        <v>227</v>
      </c>
      <c r="I6" s="81"/>
      <c r="J6" s="556"/>
      <c r="K6" s="558"/>
      <c r="L6" s="61">
        <f>IF(AND(AVERAGE(D5:D22)&gt;90,AVERAGE(D5:D22)-H11&lt;90),SQRT(($H15^2)-($L5^2))*$H7*-1,IF(AND(AVERAGE(D5:D22)&gt;270,AVERAGE(D5:D22)-H11&lt;270),SQRT(($H15^2)-($L5^2))*$H7*-1,SQRT(($H15^2)-($L5^2))*$H7))</f>
        <v>0.30090763839043999</v>
      </c>
      <c r="M6" s="551"/>
      <c r="N6" s="62">
        <f>L6*$H10</f>
        <v>300.90763839044001</v>
      </c>
      <c r="O6" s="63">
        <f>AVERAGE($C5:$C22)+N6</f>
        <v>55300.907638390439</v>
      </c>
      <c r="P6" s="555"/>
      <c r="Q6" s="581"/>
      <c r="R6" s="594"/>
      <c r="S6" s="307" t="str">
        <f>"TGT Distance from "&amp;LEFT($A3,5)&amp;" (km)"</f>
        <v>TGT Distance from EWT 1 (km)</v>
      </c>
      <c r="T6" s="536"/>
      <c r="U6" s="184">
        <f>IF(T9="FIX",SQRT(((AVERAGE(T18,T36,T54)-AVERAGE($B$5:$B$22))^2)+((AVERAGE(U18,U36,U54)-AVERAGE($C$5:$C$22))^2))/1000,IF(T9="CUT",U23,AVERAGE(H15:H16)))</f>
        <v>1.9437492408001367</v>
      </c>
      <c r="V6" s="537" t="str">
        <f>IF(T9="FIX",$H6&amp;" "&amp;INT(AVERAGE(T18,T36,T54))&amp;" "&amp;INT(AVERAGE(U18,U36,U54)),IF(T9="CUT",V14,IF(T9="LOB",Q9,"Not enough LOBs for targeting")))</f>
        <v>17R MR 54845 55611</v>
      </c>
      <c r="W6" s="187"/>
      <c r="X6" s="187"/>
    </row>
    <row r="7" spans="1:24" ht="15" customHeight="1" x14ac:dyDescent="0.25">
      <c r="A7" s="121"/>
      <c r="B7" s="124"/>
      <c r="C7" s="124"/>
      <c r="D7" s="128"/>
      <c r="E7" s="131"/>
      <c r="F7" s="573"/>
      <c r="G7" s="181" t="s">
        <v>228</v>
      </c>
      <c r="H7" s="188">
        <f>IF(AND(AVERAGE($D5:$D22)&gt;=0,AVERAGE($D5:$D22)&lt;=90),1,IF(AND(AVERAGE($D5:$D22)&gt;90,AVERAGE($D5:$D22)&lt;=270),-1,IF(AND(AVERAGE($D5:$D22)&gt;270,AVERAGE($D5:$D22)&lt;=360),1,"ERROR")))</f>
        <v>1</v>
      </c>
      <c r="I7" s="81"/>
      <c r="J7" s="556"/>
      <c r="K7" s="558" t="str">
        <f>"Max. Power ("&amp;$H4&amp;"W):"</f>
        <v>Max. Power (50W):</v>
      </c>
      <c r="L7" s="186">
        <f>IF((AVERAGE($D5:$D22)-$H11)&lt;0,ABS($H16*SIN($H12))*$H8*-1,IF(AND(AVERAGE(D5:D22)&gt;=180,AVERAGE(D5:D22)-H11&lt;180),ABS($H16*SIN($H12))*$H8*-1,ABS($H16*SIN($H12))*$H8))</f>
        <v>6.1695208695247272</v>
      </c>
      <c r="M7" s="552">
        <f>SQRT(($L7^2)+($L8^2))</f>
        <v>6.8642208912353864</v>
      </c>
      <c r="N7" s="62">
        <f>L7*$H10</f>
        <v>6169.5208695247275</v>
      </c>
      <c r="O7" s="63">
        <f>AVERAGE($B5:$B22)+N7</f>
        <v>59169.520869524727</v>
      </c>
      <c r="P7" s="555" t="str">
        <f>$H6&amp;" "&amp;INT(O7)&amp;" "&amp;INT(O8)</f>
        <v>17R MR 59169 58009</v>
      </c>
      <c r="Q7" s="581"/>
      <c r="R7" s="594"/>
      <c r="S7" s="532" t="str">
        <f>"TGT Distance from "&amp;LEFT(A23,5)&amp;" (km)"</f>
        <v>TGT Distance from EWT 2 (km)</v>
      </c>
      <c r="T7" s="533"/>
      <c r="U7" s="89">
        <f>IF(T9="FIX",SQRT(((AVERAGE(T18,T36,T54)-AVERAGE($B$26:$B$43))^2)+((AVERAGE(U18,U36,U54)-AVERAGE($C$26:$C$43))^2))/1000,IF(T9="CUT",U24,"N/A"))</f>
        <v>1.819751203995875</v>
      </c>
      <c r="V7" s="538"/>
      <c r="W7" s="187"/>
      <c r="X7" s="187"/>
    </row>
    <row r="8" spans="1:24" ht="15" customHeight="1" thickBot="1" x14ac:dyDescent="0.3">
      <c r="A8" s="121"/>
      <c r="B8" s="124"/>
      <c r="C8" s="124"/>
      <c r="D8" s="128"/>
      <c r="E8" s="131"/>
      <c r="F8" s="573"/>
      <c r="G8" s="181" t="s">
        <v>229</v>
      </c>
      <c r="H8" s="188">
        <f>IF(AND(AVERAGE($D5:$D22)&gt;=0,AVERAGE($D5:$D22)&lt;180),1,IF(AND(AVERAGE($D5:$D22)&gt;=180,AVERAGE($D5:$D22)&lt;=360),-1,"ERROR"))</f>
        <v>1</v>
      </c>
      <c r="I8" s="81"/>
      <c r="J8" s="556"/>
      <c r="K8" s="558"/>
      <c r="L8" s="186">
        <f>IF(AND(AVERAGE(D5:D22)&gt;90,AVERAGE(D5:D22)-H11&lt;90),SQRT(($H16^2)-($L7^2))*$H7*-1,IF(AND(AVERAGE(D5:D22)&gt;270,AVERAGE(D5:D22)-H11&lt;270),SQRT(($H16^2)-($L7^2))*$H7*-1,SQRT(($H16^2)-($L7^2))*$H7))</f>
        <v>3.0090763839043988</v>
      </c>
      <c r="M8" s="552"/>
      <c r="N8" s="62">
        <f>L8*$H10</f>
        <v>3009.0763839043989</v>
      </c>
      <c r="O8" s="63">
        <f>AVERAGE($C5:$C22)+N8</f>
        <v>58009.076383904401</v>
      </c>
      <c r="P8" s="555"/>
      <c r="Q8" s="581"/>
      <c r="R8" s="594"/>
      <c r="S8" s="534" t="str">
        <f>"TGT Distance from "&amp;LEFT($A44,5)&amp;" (km)"</f>
        <v>TGT Distance from EWT 3 (km)</v>
      </c>
      <c r="T8" s="535"/>
      <c r="U8" s="185">
        <f>IF(T9="FIX",SQRT(((AVERAGE(T18,T36,T54)-AVERAGE($B$47:$B$64))^2)+((AVERAGE(U18,U36,U54)-AVERAGE($C$47:$C$64))^2))/1000,"N/A")</f>
        <v>0.92996117003764178</v>
      </c>
      <c r="V8" s="539"/>
      <c r="W8" s="187"/>
      <c r="X8" s="187"/>
    </row>
    <row r="9" spans="1:24" ht="15" customHeight="1" x14ac:dyDescent="0.25">
      <c r="A9" s="121"/>
      <c r="B9" s="124"/>
      <c r="C9" s="124"/>
      <c r="D9" s="128"/>
      <c r="E9" s="131"/>
      <c r="F9" s="573"/>
      <c r="G9" s="181" t="s">
        <v>230</v>
      </c>
      <c r="H9" s="188">
        <v>4</v>
      </c>
      <c r="I9" s="81"/>
      <c r="J9" s="556" t="str">
        <f>"0° Error"</f>
        <v>0° Error</v>
      </c>
      <c r="K9" s="558" t="str">
        <f>"Min. Power ("&amp;$H3&amp;"W):"</f>
        <v>Min. Power (0.005W):</v>
      </c>
      <c r="L9" s="186">
        <f>ABS($H15*SIN($H13))*$H8</f>
        <v>0.64502577189383659</v>
      </c>
      <c r="M9" s="553">
        <f>SQRT(($L9^2)+($L10^2))</f>
        <v>0.68642208912353886</v>
      </c>
      <c r="N9" s="62">
        <f>L9*$H10</f>
        <v>645.02577189383658</v>
      </c>
      <c r="O9" s="63">
        <f>AVERAGE($B5:$B22)+N9</f>
        <v>53645.025771893837</v>
      </c>
      <c r="P9" s="561" t="str">
        <f>$H6&amp;" "&amp;INT(O9)&amp;" "&amp;INT(O10)</f>
        <v>17R MR 53645 55234</v>
      </c>
      <c r="Q9" s="584" t="str">
        <f>$H6&amp;" "&amp;INT(AVERAGE(O9,O11))&amp;" "&amp;INT(AVERAGE(O10,O12))</f>
        <v>17R MR 56547 56291</v>
      </c>
      <c r="R9" s="594"/>
      <c r="S9" s="528" t="s">
        <v>231</v>
      </c>
      <c r="T9" s="530" t="str">
        <f>IF(AND(ISBLANK(B47),ISBLANK(B26),ISBLANK(B5)=FALSE),"LOB",IF(AND(ISBLANK(B47),ISBLANK(B26)=FALSE,ISBLANK(B5)=FALSE),"CUT",IF(AND(ISBLANK(B47)=FALSE,ISBLANK(B26)=FALSE,ISBLANK(B5)=FALSE),"FIX","ERROR")))</f>
        <v>FIX</v>
      </c>
      <c r="U9" s="160" t="s">
        <v>232</v>
      </c>
      <c r="V9" s="159">
        <f>IF(T9="FIX",SQRT(((SQRT(((T18-T36)^2)+((U18-U36)^2))+SQRT(((T36-T54)^2)+((U36-U54)^2))+SQRT(((T18-T54)^2)+((U18-U54)^2)))/2)*(((SQRT(((T18-T36)^2)+((U18-U36)^2))+SQRT(((T36-T54)^2)+((U36-U54)^2))+SQRT(((T18-T54)^2)+((U18-U54)^2)))/2)-SQRT(((T18-T36)^2)+((U18-U36)^2)))*(((SQRT(((T18-T36)^2)+((U18-U36)^2))+SQRT(((T36-T54)^2)+((U36-U54)^2))+SQRT(((T18-T54)^2)+((U18-U54)^2)))/2)-SQRT(((T36-T54)^2)+((U36-U54)^2)))*(((SQRT(((T18-T36)^2)+((U18-U36)^2))+SQRT(((T36-T54)^2)+((U36-U54)^2))+SQRT(((T18-T54)^2)+((U18-U54)^2)))/2)-SQRT(((T18-T54)^2)+((U18-U54)^2))))/(1*10^6)*247.105,IF(T9="CUT",T28,Q22))</f>
        <v>7.1398518700000002</v>
      </c>
      <c r="W9" s="187"/>
      <c r="X9" s="187"/>
    </row>
    <row r="10" spans="1:24" ht="15" customHeight="1" thickBot="1" x14ac:dyDescent="0.3">
      <c r="A10" s="121"/>
      <c r="B10" s="124"/>
      <c r="C10" s="124"/>
      <c r="D10" s="128"/>
      <c r="E10" s="131"/>
      <c r="F10" s="573"/>
      <c r="G10" s="181" t="s">
        <v>233</v>
      </c>
      <c r="H10" s="162">
        <f>10^3</f>
        <v>1000</v>
      </c>
      <c r="I10" s="81"/>
      <c r="J10" s="556"/>
      <c r="K10" s="558"/>
      <c r="L10" s="186">
        <f>SQRT(($H15^2)-($L9^2))*$H7</f>
        <v>0.23477018130393776</v>
      </c>
      <c r="M10" s="553"/>
      <c r="N10" s="62">
        <f>L10*$H10</f>
        <v>234.77018130393776</v>
      </c>
      <c r="O10" s="63">
        <f>AVERAGE($C5:$C22)+N10</f>
        <v>55234.770181303938</v>
      </c>
      <c r="P10" s="561"/>
      <c r="Q10" s="584"/>
      <c r="R10" s="594"/>
      <c r="S10" s="529"/>
      <c r="T10" s="531"/>
      <c r="U10" s="55" t="s">
        <v>234</v>
      </c>
      <c r="V10" s="161">
        <f>((V9/274.15*1*10^6)/PI())^(1/2)</f>
        <v>91.049075280649262</v>
      </c>
      <c r="W10" s="187"/>
      <c r="X10" s="187"/>
    </row>
    <row r="11" spans="1:24" ht="15" customHeight="1" x14ac:dyDescent="0.25">
      <c r="A11" s="121"/>
      <c r="B11" s="124"/>
      <c r="C11" s="124"/>
      <c r="D11" s="128"/>
      <c r="E11" s="131"/>
      <c r="F11" s="573"/>
      <c r="G11" s="181" t="s">
        <v>235</v>
      </c>
      <c r="H11" s="136">
        <v>6</v>
      </c>
      <c r="I11" s="81"/>
      <c r="J11" s="556"/>
      <c r="K11" s="558" t="str">
        <f>"Max. Power ("&amp;$H4&amp;"W):"</f>
        <v>Max. Power (50W):</v>
      </c>
      <c r="L11" s="186">
        <f>ABS($H16*SIN($H13))*$H8</f>
        <v>6.4502577189383636</v>
      </c>
      <c r="M11" s="553">
        <f>SQRT(($L11^2)+($L12^2))</f>
        <v>6.8642208912353864</v>
      </c>
      <c r="N11" s="62">
        <f>L11*$H10</f>
        <v>6450.2577189383637</v>
      </c>
      <c r="O11" s="63">
        <f>AVERAGE($B5:$B22)+N11</f>
        <v>59450.257718938366</v>
      </c>
      <c r="P11" s="561" t="str">
        <f>$H6&amp;" "&amp;INT(O11)&amp;" "&amp;INT(O12)</f>
        <v>17R MR 59450 57347</v>
      </c>
      <c r="Q11" s="584"/>
      <c r="R11" s="594"/>
      <c r="S11" s="518" t="str">
        <f>LEFT($A3,5)&amp;" &amp; "&amp;LEFT($A23,5)&amp;" LOB Intersection (CUT)"</f>
        <v>EWT 1 &amp; EWT 2 LOB Intersection (CUT)</v>
      </c>
      <c r="T11" s="519"/>
      <c r="U11" s="519"/>
      <c r="V11" s="520"/>
      <c r="W11" s="187"/>
      <c r="X11" s="187"/>
    </row>
    <row r="12" spans="1:24" ht="15" customHeight="1" thickBot="1" x14ac:dyDescent="0.3">
      <c r="A12" s="121"/>
      <c r="B12" s="124"/>
      <c r="C12" s="124"/>
      <c r="D12" s="128"/>
      <c r="E12" s="131"/>
      <c r="F12" s="573"/>
      <c r="G12" s="181" t="s">
        <v>236</v>
      </c>
      <c r="H12" s="64">
        <f>(AVERAGE($D5:$D22)-$H11)*PI()/180</f>
        <v>1.1170107212763709</v>
      </c>
      <c r="I12" s="81"/>
      <c r="J12" s="556"/>
      <c r="K12" s="558"/>
      <c r="L12" s="186">
        <f>SQRT(($H16^2)-(L11^2))*$H7</f>
        <v>2.3477018130393765</v>
      </c>
      <c r="M12" s="553"/>
      <c r="N12" s="62">
        <f>L12*$H10</f>
        <v>2347.7018130393767</v>
      </c>
      <c r="O12" s="63">
        <f>AVERAGE($C5:$C22)+N12</f>
        <v>57347.701813039377</v>
      </c>
      <c r="P12" s="561"/>
      <c r="Q12" s="584"/>
      <c r="R12" s="594"/>
      <c r="S12" s="592"/>
      <c r="T12" s="547"/>
      <c r="U12" s="547"/>
      <c r="V12" s="523"/>
      <c r="W12" s="187"/>
      <c r="X12" s="187"/>
    </row>
    <row r="13" spans="1:24" ht="15" customHeight="1" thickBot="1" x14ac:dyDescent="0.3">
      <c r="A13" s="121"/>
      <c r="B13" s="124"/>
      <c r="C13" s="124"/>
      <c r="D13" s="128"/>
      <c r="E13" s="131"/>
      <c r="F13" s="573"/>
      <c r="G13" s="181" t="s">
        <v>237</v>
      </c>
      <c r="H13" s="64">
        <f>(AVERAGE($D5:$D6))*PI()/180</f>
        <v>1.2217304763960306</v>
      </c>
      <c r="I13" s="81"/>
      <c r="J13" s="556" t="str">
        <f>"+"&amp;$H11&amp;"° Error"</f>
        <v>+6° Error</v>
      </c>
      <c r="K13" s="558" t="str">
        <f>"Min. Power ("&amp;$H3&amp;"W):"</f>
        <v>Min. Power (0.005W):</v>
      </c>
      <c r="L13" s="186">
        <f>IF((AVERAGE($D5:$D22)+$H11)&gt;360,ABS($H15*SIN($H14))*$H8*-1,IF(AND(AVERAGE(D5:D22)&lt;180,AVERAGE(D5:D22)+H11&gt;180),ABS($H15*SIN($H14))*$H8*-1,ABS($H15*SIN($H14))*$H8))</f>
        <v>0.66603241949801095</v>
      </c>
      <c r="M13" s="552">
        <f>SQRT(($L13^2)+($L14^2))</f>
        <v>0.68642208912353886</v>
      </c>
      <c r="N13" s="62">
        <f>L13*$H10</f>
        <v>666.032419498011</v>
      </c>
      <c r="O13" s="63">
        <f>AVERAGE($B5:$B22)+N13</f>
        <v>53666.032419498013</v>
      </c>
      <c r="P13" s="555" t="str">
        <f>$H6&amp;" "&amp;INT(O13)&amp;" "&amp;INT(O14)</f>
        <v>17R MR 53666 55166</v>
      </c>
      <c r="Q13" s="582" t="str">
        <f>$H6&amp;" "&amp;INT(AVERAGE(O13,O15))&amp;" "&amp;INT(AVERAGE(O14,O16))</f>
        <v>17R MR 56663 55913</v>
      </c>
      <c r="R13" s="594"/>
      <c r="S13" s="78" t="s">
        <v>238</v>
      </c>
      <c r="T13" s="76" t="s">
        <v>239</v>
      </c>
      <c r="U13" s="76" t="s">
        <v>240</v>
      </c>
      <c r="V13" s="77" t="s">
        <v>241</v>
      </c>
      <c r="W13" s="187"/>
      <c r="X13" s="187"/>
    </row>
    <row r="14" spans="1:24" ht="15" customHeight="1" x14ac:dyDescent="0.25">
      <c r="A14" s="121"/>
      <c r="B14" s="124"/>
      <c r="C14" s="124"/>
      <c r="D14" s="128"/>
      <c r="E14" s="131"/>
      <c r="F14" s="573"/>
      <c r="G14" s="181" t="s">
        <v>242</v>
      </c>
      <c r="H14" s="64">
        <f>(AVERAGE($D5:$D22)+$H11)*PI()/180</f>
        <v>1.3264502315156903</v>
      </c>
      <c r="I14" s="81"/>
      <c r="J14" s="556"/>
      <c r="K14" s="558"/>
      <c r="L14" s="186">
        <f>IF(AND(AVERAGE(D5:D22)&lt;=90,AVERAGE(D5:D22)+H11&gt;90),SQRT(($H15^2)-($L13^2))*$H7*-1,IF(AND(AVERAGE(D5:D22)&lt;=270,AVERAGE(D5:D22)+H11&gt;270),SQRT(($H15^2)-($L13^2))*$H7*-1,SQRT(($H15^2)-($L13^2))*$H7))</f>
        <v>0.16606053298225038</v>
      </c>
      <c r="M14" s="552"/>
      <c r="N14" s="62">
        <f>L14*$H10</f>
        <v>166.06053298225038</v>
      </c>
      <c r="O14" s="63">
        <f>AVERAGE($C5:$C22)+N14</f>
        <v>55166.06053298225</v>
      </c>
      <c r="P14" s="555"/>
      <c r="Q14" s="582"/>
      <c r="R14" s="594"/>
      <c r="S14" s="73" t="str">
        <f>LEFT($J5,3)&amp;" &amp; "&amp;LEFT($J26,3)</f>
        <v>-6° &amp; -6°</v>
      </c>
      <c r="T14" s="74">
        <f>INT(($O26-$N26)+($U14-($O27-$N27))*TAN($H33))</f>
        <v>54845</v>
      </c>
      <c r="U14" s="74">
        <f>INT(((($O26-$N26)-($O5-$N5))+($O6-$N6)*TAN($H12)-($O27-$N27)*TAN($H33))/(TAN($H12)-TAN($H33)))</f>
        <v>55900</v>
      </c>
      <c r="V14" s="540" t="str">
        <f>IFERROR($H6&amp;" "&amp;T18&amp;" "&amp;U18,"EWT 1 or EWT 2 have no recorded LOBs or incapatable LOBs")</f>
        <v>17R MR 54996 55726</v>
      </c>
      <c r="W14" s="187"/>
      <c r="X14" s="187"/>
    </row>
    <row r="15" spans="1:24" x14ac:dyDescent="0.25">
      <c r="A15" s="121"/>
      <c r="B15" s="124"/>
      <c r="C15" s="124"/>
      <c r="D15" s="128"/>
      <c r="E15" s="131"/>
      <c r="F15" s="573"/>
      <c r="G15" s="181" t="s">
        <v>243</v>
      </c>
      <c r="H15" s="91">
        <f>10^((10*LOG10(1000*$H3)+0-32.4-(10*$H9*LOG10(AVERAGE($A5:$A22)))+0-AVERAGE($E5:$E22))/(10*$H$9))</f>
        <v>0.68642208912353886</v>
      </c>
      <c r="I15" s="81"/>
      <c r="J15" s="556"/>
      <c r="K15" s="558" t="str">
        <f>"Max. Power ("&amp;$H4&amp;"W):"</f>
        <v>Max. Power (50W):</v>
      </c>
      <c r="L15" s="65">
        <f>IF((AVERAGE($D5:$D22)+$H11)&gt;360,ABS($H16*SIN($H14))*$H8*-1,IF(AND(AVERAGE(D5:D22)&lt;180,AVERAGE(D5:D22)+H11&gt;180),ABS($H16*SIN($H14))*$H8*-1,ABS($H16*SIN($H14))*$H8))</f>
        <v>6.6603241949801069</v>
      </c>
      <c r="M15" s="551">
        <f>SQRT(($L15^2)+($L16^2))</f>
        <v>6.8642208912353864</v>
      </c>
      <c r="N15" s="62">
        <f>L15*$H10</f>
        <v>6660.3241949801068</v>
      </c>
      <c r="O15" s="63">
        <f>AVERAGE($B5:$B22)+N15</f>
        <v>59660.324194980109</v>
      </c>
      <c r="P15" s="555" t="str">
        <f>$H6&amp;" "&amp;INT(O15)&amp;" "&amp;INT(O16)</f>
        <v>17R MR 59660 56660</v>
      </c>
      <c r="Q15" s="582"/>
      <c r="R15" s="594"/>
      <c r="S15" s="72" t="str">
        <f>LEFT($J9,3)&amp;" &amp; "&amp;LEFT($J26,3)</f>
        <v>0°  &amp; -6°</v>
      </c>
      <c r="T15" s="71">
        <f>INT(($O26-$N26)+($U15-($O27-$N27))*TAN($H33))</f>
        <v>54724</v>
      </c>
      <c r="U15" s="71">
        <f>INT(((($O26-$N26)-($O9-$N9))+($O10-$N10)*TAN($H13)-($O27-$N27)*TAN($H33))/(TAN($H13)-TAN($H33)))</f>
        <v>55627</v>
      </c>
      <c r="V15" s="541"/>
      <c r="W15" s="187"/>
      <c r="X15" s="187"/>
    </row>
    <row r="16" spans="1:24" ht="15.6" customHeight="1" thickBot="1" x14ac:dyDescent="0.3">
      <c r="A16" s="121"/>
      <c r="B16" s="124"/>
      <c r="C16" s="124"/>
      <c r="D16" s="128"/>
      <c r="E16" s="131"/>
      <c r="F16" s="573"/>
      <c r="G16" s="182" t="s">
        <v>244</v>
      </c>
      <c r="H16" s="92">
        <f>10^((10*LOG10(1000*$H4)+0-32.4-(10*$H9*LOG10(AVERAGE($A5:$A22)))+0-AVERAGE($E5:$E22))/(10*H9))</f>
        <v>6.8642208912353864</v>
      </c>
      <c r="I16" s="81"/>
      <c r="J16" s="557"/>
      <c r="K16" s="559"/>
      <c r="L16" s="66">
        <f>IF(AND(AVERAGE(D5:D22)&lt;=90,AVERAGE(D5:D22)+H11&gt;90),SQRT(($H16^2)-(L15^2))*$H7*-1,IF(AND(AVERAGE(D5:D22)&lt;=270,AVERAGE(D5:D22)+H11&gt;270),SQRT(($H16^2)-(L15^2))*$H7*-1,SQRT(($H16^2)-(L15^2))*$H7))</f>
        <v>1.660605329822505</v>
      </c>
      <c r="M16" s="554"/>
      <c r="N16" s="67">
        <f>L16*$H10</f>
        <v>1660.6053298225049</v>
      </c>
      <c r="O16" s="68">
        <f>AVERAGE($C5:$C22)+N16</f>
        <v>56660.605329822502</v>
      </c>
      <c r="P16" s="560"/>
      <c r="Q16" s="583"/>
      <c r="R16" s="594"/>
      <c r="S16" s="72" t="str">
        <f>LEFT($J13,3)&amp;" &amp; "&amp;LEFT($J26,3)</f>
        <v>+6° &amp; -6°</v>
      </c>
      <c r="T16" s="71">
        <f>INT(($O26-$N26)+($U16-($O27-$N27))*TAN($H33))</f>
        <v>54625</v>
      </c>
      <c r="U16" s="71">
        <f>INT(((($O26-$N26)-($O13-$N13))+($O14-$N14)*TAN($H14)-($O27-$N27)*TAN($H33))/(TAN($H14)-TAN($H33)))</f>
        <v>55405</v>
      </c>
      <c r="V16" s="541"/>
      <c r="W16" s="187"/>
      <c r="X16" s="187"/>
    </row>
    <row r="17" spans="1:27" ht="16.5" thickBot="1" x14ac:dyDescent="0.3">
      <c r="A17" s="121"/>
      <c r="B17" s="124"/>
      <c r="C17" s="124"/>
      <c r="D17" s="128"/>
      <c r="E17" s="131"/>
      <c r="F17" s="573"/>
      <c r="G17" s="596" t="str">
        <f>"Notes regarding "&amp;LEFT(A3,5)&amp;":"</f>
        <v>Notes regarding EWT 1:</v>
      </c>
      <c r="H17" s="597"/>
      <c r="I17" s="597"/>
      <c r="J17" s="597"/>
      <c r="K17" s="597"/>
      <c r="L17" s="597"/>
      <c r="M17" s="597"/>
      <c r="N17" s="597"/>
      <c r="O17" s="597"/>
      <c r="P17" s="575" t="str">
        <f>LEFT($A3,5)&amp;" LOB Error:"</f>
        <v>EWT 1 LOB Error:</v>
      </c>
      <c r="Q17" s="525"/>
      <c r="R17" s="594"/>
      <c r="S17" s="72" t="str">
        <f>LEFT($J5,3)&amp;" &amp; "&amp;LEFT($J30,3)</f>
        <v xml:space="preserve">-6° &amp; 0° </v>
      </c>
      <c r="T17" s="71">
        <f>IF(AND($H34&lt;&gt;PI()/2,$H34&lt;&gt;PI()*3/2),INT(($O30-$N30)+($U17-($O31-$N31))*TAN($H34)),IF(AND($H13&lt;&gt;PI()/2,$H13&lt;&gt;PI()*3/2),INT(($O9-$N9)+($U18-($O10-$N10))*TAN($H13)),AVERAGE(B5:B22,B26:B43)))</f>
        <v>55195</v>
      </c>
      <c r="U17" s="71">
        <f>INT(((($O30-$N30)-($O5-$N5))+($O6-$N6)*TAN($H12)-($O31-$N31)*TAN($H34))/(TAN($H12)-TAN($H34)))</f>
        <v>56070</v>
      </c>
      <c r="V17" s="541"/>
      <c r="W17" s="187"/>
      <c r="X17" s="187"/>
      <c r="Y17" s="187"/>
      <c r="Z17" s="187"/>
      <c r="AA17" s="187"/>
    </row>
    <row r="18" spans="1:27" ht="15" customHeight="1" x14ac:dyDescent="0.25">
      <c r="A18" s="121"/>
      <c r="B18" s="124"/>
      <c r="C18" s="124"/>
      <c r="D18" s="128"/>
      <c r="E18" s="131"/>
      <c r="F18" s="573"/>
      <c r="G18" s="598"/>
      <c r="H18" s="599"/>
      <c r="I18" s="599"/>
      <c r="J18" s="599"/>
      <c r="K18" s="599"/>
      <c r="L18" s="599"/>
      <c r="M18" s="599"/>
      <c r="N18" s="599"/>
      <c r="O18" s="600"/>
      <c r="P18" s="60" t="s">
        <v>245</v>
      </c>
      <c r="Q18" s="179">
        <f>(SQRT(((AVERAGE(SQRT(($O7-$O5)^2+($O8-$O6)^2),SQRT(($O15-$O13)^2+($O16-$O14)^2)))^2)-((($Q20-$Q19)/2)^2))/$H$10)*1000</f>
        <v>6143.9561738801231</v>
      </c>
      <c r="R18" s="594"/>
      <c r="S18" s="72" t="s">
        <v>246</v>
      </c>
      <c r="T18" s="71">
        <f>IF(AND($H34&lt;&gt;PI()/2,$H34&lt;&gt;PI()*3/2),INT(($O30-$N30)+($U18-($O31-$N31))*TAN($H34)),IF(AND($H13&lt;&gt;PI()/2,$H13&lt;&gt;PI()*3/2),INT(($O9-$N9)+($U18-($O10-$N10))*TAN($H13)),AVERAGE(B5:B22,B26:B43)))</f>
        <v>54996</v>
      </c>
      <c r="U18" s="71">
        <f>INT(((($O30-$N30)-($O9-$N9))+($O10-$N10)*TAN($H13)-($O31-$N31)*TAN($H34))/(TAN($H13)-TAN($H34)))</f>
        <v>55726</v>
      </c>
      <c r="V18" s="541"/>
      <c r="W18" s="187"/>
      <c r="X18" s="187"/>
      <c r="Y18" s="187"/>
      <c r="Z18" s="187"/>
      <c r="AA18" s="187"/>
    </row>
    <row r="19" spans="1:27" ht="15.75" x14ac:dyDescent="0.25">
      <c r="A19" s="121"/>
      <c r="B19" s="125"/>
      <c r="C19" s="125"/>
      <c r="D19" s="128"/>
      <c r="E19" s="131"/>
      <c r="F19" s="573"/>
      <c r="G19" s="601"/>
      <c r="H19" s="602"/>
      <c r="I19" s="602"/>
      <c r="J19" s="602"/>
      <c r="K19" s="602"/>
      <c r="L19" s="602"/>
      <c r="M19" s="602"/>
      <c r="N19" s="602"/>
      <c r="O19" s="603"/>
      <c r="P19" s="52" t="s">
        <v>247</v>
      </c>
      <c r="Q19" s="176">
        <f>(AVERAGE(SQRT(($O5-$O13)^2+($O6-$O14)^2))/$H10)*1000</f>
        <v>143.50129225811267</v>
      </c>
      <c r="R19" s="594"/>
      <c r="S19" s="72" t="str">
        <f>LEFT($J13,3)&amp;" &amp; "&amp;LEFT($J30,3)</f>
        <v xml:space="preserve">+6° &amp; 0° </v>
      </c>
      <c r="T19" s="71">
        <f>IF(AND($H34&lt;&gt;PI()/2,$H34&lt;&gt;PI()*3/2),INT(($O30-$N30)+($U19-($O31-$N31))*TAN($H34)),IF(AND($H13&lt;&gt;PI()/2,$H13&lt;&gt;PI()*3/2),INT(($O9-$N9)+($U18-($O10-$N10))*TAN($H13)),AVERAGE(B5:B22,B26:B43)))</f>
        <v>54842</v>
      </c>
      <c r="U19" s="71">
        <f>INT(((($O30-$N30)-($O13-$N13))+($O14-$N14)*TAN($H14)-($O31-$N31)*TAN($H34))/(TAN($H14)-TAN($H34)))</f>
        <v>55459</v>
      </c>
      <c r="V19" s="541"/>
      <c r="W19" s="187"/>
      <c r="X19" s="187"/>
      <c r="Y19" s="187"/>
      <c r="Z19" s="187"/>
      <c r="AA19" s="187"/>
    </row>
    <row r="20" spans="1:27" ht="17.45" customHeight="1" x14ac:dyDescent="0.25">
      <c r="A20" s="121"/>
      <c r="B20" s="124"/>
      <c r="C20" s="124"/>
      <c r="D20" s="128"/>
      <c r="E20" s="131"/>
      <c r="F20" s="573"/>
      <c r="G20" s="601"/>
      <c r="H20" s="602"/>
      <c r="I20" s="602"/>
      <c r="J20" s="602"/>
      <c r="K20" s="602"/>
      <c r="L20" s="602"/>
      <c r="M20" s="602"/>
      <c r="N20" s="602"/>
      <c r="O20" s="603"/>
      <c r="P20" s="52" t="s">
        <v>248</v>
      </c>
      <c r="Q20" s="176">
        <f>((AVERAGE(SQRT(($O7-$O15)^2+($O8-$O16)^2))/$H10)*1000)</f>
        <v>1435.0129225811208</v>
      </c>
      <c r="R20" s="594"/>
      <c r="S20" s="72" t="str">
        <f>LEFT($J5,3)&amp;" &amp; "&amp;LEFT($J34,3)</f>
        <v>-6° &amp; +6°</v>
      </c>
      <c r="T20" s="71">
        <f>INT(($O34-$N34)+($U20-($O35-$N35))*TAN($H35))</f>
        <v>55673</v>
      </c>
      <c r="U20" s="71">
        <f>INT(((($O34-$N34)-($O5-$N5))+($O6-$N6)*TAN($H12)-($O35-$N35)*TAN($H35))/(TAN($H12)-TAN($H35)))</f>
        <v>56304</v>
      </c>
      <c r="V20" s="541"/>
      <c r="W20" s="187"/>
      <c r="X20" s="187"/>
      <c r="Y20" s="187"/>
      <c r="Z20" s="187"/>
      <c r="AA20" s="187"/>
    </row>
    <row r="21" spans="1:27" x14ac:dyDescent="0.25">
      <c r="A21" s="121"/>
      <c r="B21" s="124"/>
      <c r="C21" s="124"/>
      <c r="D21" s="128"/>
      <c r="E21" s="131"/>
      <c r="F21" s="573"/>
      <c r="G21" s="601"/>
      <c r="H21" s="602"/>
      <c r="I21" s="602"/>
      <c r="J21" s="602"/>
      <c r="K21" s="602"/>
      <c r="L21" s="602"/>
      <c r="M21" s="602"/>
      <c r="N21" s="602"/>
      <c r="O21" s="603"/>
      <c r="P21" s="52" t="s">
        <v>249</v>
      </c>
      <c r="Q21" s="90">
        <f>((Q19*Q18)+(((Q20-Q19)/2)*Q18))/1000000*247.105</f>
        <v>1198.2519481568324</v>
      </c>
      <c r="R21" s="594"/>
      <c r="S21" s="72" t="str">
        <f>LEFT($J9,3)&amp;" &amp; "&amp;LEFT($J34,3)</f>
        <v>0°  &amp; +6°</v>
      </c>
      <c r="T21" s="71">
        <f>INT(($O34-$N34)+($U21-($O35-$N35))*TAN($H35))</f>
        <v>55347</v>
      </c>
      <c r="U21" s="71">
        <f>INT(((($O34-$N34)-($O9-$N9))+($O10-$N10)*TAN($H13)-($O35-$N35)*TAN($H35))/(TAN($H13)-TAN($H35)))</f>
        <v>55854</v>
      </c>
      <c r="V21" s="541"/>
      <c r="W21" s="187"/>
      <c r="X21" s="187"/>
      <c r="Y21" s="187"/>
      <c r="Z21" s="187"/>
      <c r="AA21" s="187"/>
    </row>
    <row r="22" spans="1:27" ht="15.75" thickBot="1" x14ac:dyDescent="0.3">
      <c r="A22" s="121"/>
      <c r="B22" s="124"/>
      <c r="C22" s="124"/>
      <c r="D22" s="128"/>
      <c r="E22" s="131"/>
      <c r="F22" s="573"/>
      <c r="G22" s="604"/>
      <c r="H22" s="605"/>
      <c r="I22" s="605"/>
      <c r="J22" s="605"/>
      <c r="K22" s="605"/>
      <c r="L22" s="605"/>
      <c r="M22" s="605"/>
      <c r="N22" s="605"/>
      <c r="O22" s="606"/>
      <c r="P22" s="55" t="s">
        <v>250</v>
      </c>
      <c r="Q22" s="177">
        <f>(PI()*(AVERAGE(Q19:Q20)/1000/2)^2)*247.105</f>
        <v>120.89502168450539</v>
      </c>
      <c r="R22" s="594"/>
      <c r="S22" s="79" t="str">
        <f>LEFT($J13,3)&amp;" &amp; "&amp;LEFT($J34,3)</f>
        <v>+6° &amp; +6°</v>
      </c>
      <c r="T22" s="75">
        <f>INT(($O34-$N34)+($U22-($O35-$N35))*TAN($H35))</f>
        <v>55107</v>
      </c>
      <c r="U22" s="75">
        <f>INT(((($O34-$N34)-($O13-$N13))+($O14-$N14)*TAN($H14)-($O35-$N35)*TAN($H35))/(TAN($H14)-TAN($H35)))</f>
        <v>55525</v>
      </c>
      <c r="V22" s="542"/>
      <c r="W22" s="187"/>
      <c r="X22" s="187"/>
      <c r="Y22" s="187"/>
      <c r="Z22" s="187"/>
      <c r="AA22" s="187"/>
    </row>
    <row r="23" spans="1:27" ht="16.5" thickBot="1" x14ac:dyDescent="0.3">
      <c r="A23" s="585" t="s">
        <v>251</v>
      </c>
      <c r="B23" s="586"/>
      <c r="C23" s="586"/>
      <c r="D23" s="586"/>
      <c r="E23" s="587"/>
      <c r="F23" s="573"/>
      <c r="G23" s="524" t="s">
        <v>207</v>
      </c>
      <c r="H23" s="524"/>
      <c r="I23" s="377"/>
      <c r="J23" s="585" t="str">
        <f>LEFT($A23,5)&amp;" (located at "&amp;IF(ISBLANK($B26),"",$H6)&amp;" "&amp;IF(ISBLANK($B5),"N/A",AVERAGE($B26:$B43))&amp;IF(ISBLANK($C26),""," "&amp;AVERAGE(C26:C43))&amp;")"</f>
        <v>EWT 2 (located at 17R MR 54000 54000)</v>
      </c>
      <c r="K23" s="586"/>
      <c r="L23" s="586"/>
      <c r="M23" s="586"/>
      <c r="N23" s="586"/>
      <c r="O23" s="586"/>
      <c r="P23" s="586"/>
      <c r="Q23" s="587"/>
      <c r="R23" s="594"/>
      <c r="S23" s="308" t="str">
        <f>"TGT Distance from "&amp;LEFT($A3,5)&amp;" (km)"</f>
        <v>TGT Distance from EWT 1 (km)</v>
      </c>
      <c r="T23" s="536"/>
      <c r="U23" s="544">
        <f>SQRT((($T18-AVERAGE($B$5:$B$22))^2)+(($U18-AVERAGE($C$5:$C$22))^2))/1000</f>
        <v>2.1239331439572195</v>
      </c>
      <c r="V23" s="545"/>
      <c r="W23" s="86"/>
      <c r="X23" s="187"/>
      <c r="Y23" s="187"/>
      <c r="Z23" s="187"/>
      <c r="AA23" s="187"/>
    </row>
    <row r="24" spans="1:27" ht="15.6" customHeight="1" thickBot="1" x14ac:dyDescent="0.3">
      <c r="A24" s="564"/>
      <c r="B24" s="565"/>
      <c r="C24" s="565"/>
      <c r="D24" s="565"/>
      <c r="E24" s="588"/>
      <c r="F24" s="573"/>
      <c r="G24" s="60" t="s">
        <v>210</v>
      </c>
      <c r="H24" s="133">
        <f>$H$3</f>
        <v>5.0000000000000001E-3</v>
      </c>
      <c r="I24" s="377"/>
      <c r="J24" s="564"/>
      <c r="K24" s="565"/>
      <c r="L24" s="565"/>
      <c r="M24" s="565"/>
      <c r="N24" s="565"/>
      <c r="O24" s="565"/>
      <c r="P24" s="565"/>
      <c r="Q24" s="588"/>
      <c r="R24" s="594"/>
      <c r="S24" s="543" t="str">
        <f>"TGT Distance from "&amp;LEFT($A23,5)&amp;" (km)"</f>
        <v>TGT Distance from EWT 2 (km)</v>
      </c>
      <c r="T24" s="535"/>
      <c r="U24" s="546">
        <f>SQRT((($T18-AVERAGE($B$26:$B$43))^2)+(($U18-AVERAGE($C$26:$C$43))^2))/1000</f>
        <v>1.9927598952206962</v>
      </c>
      <c r="V24" s="323"/>
      <c r="W24" s="187"/>
      <c r="X24" s="187"/>
      <c r="Y24" s="187"/>
      <c r="Z24" s="187"/>
      <c r="AA24" s="187"/>
    </row>
    <row r="25" spans="1:27" ht="16.5" thickBot="1" x14ac:dyDescent="0.3">
      <c r="A25" s="53" t="s">
        <v>212</v>
      </c>
      <c r="B25" s="54" t="s">
        <v>213</v>
      </c>
      <c r="C25" s="54" t="s">
        <v>214</v>
      </c>
      <c r="D25" s="54" t="s">
        <v>215</v>
      </c>
      <c r="E25" s="70" t="s">
        <v>216</v>
      </c>
      <c r="F25" s="573"/>
      <c r="G25" s="55" t="s">
        <v>217</v>
      </c>
      <c r="H25" s="134">
        <f>$H$4</f>
        <v>50</v>
      </c>
      <c r="I25" s="377"/>
      <c r="J25" s="579" t="s">
        <v>218</v>
      </c>
      <c r="K25" s="549"/>
      <c r="L25" s="548" t="s">
        <v>219</v>
      </c>
      <c r="M25" s="549"/>
      <c r="N25" s="56" t="s">
        <v>220</v>
      </c>
      <c r="O25" s="70" t="s">
        <v>221</v>
      </c>
      <c r="P25" s="576" t="s">
        <v>222</v>
      </c>
      <c r="Q25" s="577"/>
      <c r="R25" s="594"/>
      <c r="S25" s="524" t="str">
        <f>LEFT($A3,5)&amp;" &amp; "&amp;LEFT($A23,5)&amp;" LOB Intersection (CUT) Error:"</f>
        <v>EWT 1 &amp; EWT 2 LOB Intersection (CUT) Error:</v>
      </c>
      <c r="T25" s="524"/>
      <c r="U25" s="524"/>
      <c r="V25" s="525"/>
      <c r="W25" s="187"/>
      <c r="X25" s="187"/>
      <c r="Y25" s="187"/>
      <c r="Z25" s="187"/>
      <c r="AA25" s="187"/>
    </row>
    <row r="26" spans="1:27" ht="22.9" customHeight="1" thickBot="1" x14ac:dyDescent="0.3">
      <c r="A26" s="120">
        <v>60</v>
      </c>
      <c r="B26" s="123">
        <v>54000</v>
      </c>
      <c r="C26" s="123">
        <v>54000</v>
      </c>
      <c r="D26" s="127">
        <v>30</v>
      </c>
      <c r="E26" s="130">
        <v>-80</v>
      </c>
      <c r="F26" s="573"/>
      <c r="G26" s="522" t="s">
        <v>223</v>
      </c>
      <c r="H26" s="522"/>
      <c r="I26" s="377"/>
      <c r="J26" s="570" t="str">
        <f>"-"&amp;$H32&amp;"° Error"</f>
        <v>-6° Error</v>
      </c>
      <c r="K26" s="578" t="str">
        <f>"Min. Power ("&amp;$H24&amp;"W):"</f>
        <v>Min. Power (0.005W):</v>
      </c>
      <c r="L26" s="57">
        <f>IF((AVERAGE($D26:$D43)-$H32)&lt;0,ABS($H36*SIN($H33))*$H29*-1,IF(AND(AVERAGE(D26:D43)&gt;=180,AVERAGE(D26:D43)-H32&lt;180),ABS($H36*SIN($H33))*$H29*-1,ABS($H36*SIN($H33))*$H29))</f>
        <v>0.15700177074933064</v>
      </c>
      <c r="M26" s="550">
        <f>SQRT(($L26^2)+($L27^2))</f>
        <v>0.38600350723765869</v>
      </c>
      <c r="N26" s="58">
        <f>L26*$H31</f>
        <v>157.00177074933063</v>
      </c>
      <c r="O26" s="59">
        <f>AVERAGE($B26:$B43)+N26</f>
        <v>54157.001770749332</v>
      </c>
      <c r="P26" s="569" t="str">
        <f>$H27&amp;" "&amp;INT(O26)&amp;" "&amp;INT(O27)</f>
        <v>17R MR 54157 54352</v>
      </c>
      <c r="Q26" s="580" t="str">
        <f>$H27&amp;" "&amp;INT(AVERAGE(O26,O28))&amp;" "&amp;INT(AVERAGE(O27,O29))</f>
        <v>17R MR 54863 55939</v>
      </c>
      <c r="R26" s="594"/>
      <c r="S26" s="183" t="s">
        <v>252</v>
      </c>
      <c r="T26" s="526">
        <f>(SQRT((($T22-$T16)^2)+($U22-$U16)^2)/$H$10)*1000</f>
        <v>496.71319692554977</v>
      </c>
      <c r="U26" s="527"/>
      <c r="V26" s="82">
        <f>(SQRT((($T20-$T14)^2)+($U20-$U14)^2)/$H$10)*1000</f>
        <v>921.30342450248168</v>
      </c>
      <c r="W26" s="187"/>
      <c r="X26" s="187"/>
      <c r="Y26" s="187"/>
      <c r="Z26" s="187"/>
      <c r="AA26" s="187"/>
    </row>
    <row r="27" spans="1:27" ht="22.9" customHeight="1" x14ac:dyDescent="0.25">
      <c r="A27" s="121"/>
      <c r="B27" s="124"/>
      <c r="C27" s="124"/>
      <c r="D27" s="128"/>
      <c r="E27" s="131"/>
      <c r="F27" s="573"/>
      <c r="G27" s="183" t="s">
        <v>226</v>
      </c>
      <c r="H27" s="135" t="str">
        <f>$H$6</f>
        <v>17R MR</v>
      </c>
      <c r="I27" s="377"/>
      <c r="J27" s="556"/>
      <c r="K27" s="558"/>
      <c r="L27" s="61">
        <f>IF(AND(AVERAGE(D26:D43)&gt;90,AVERAGE(D26:D43)-H32&lt;90),SQRT(($H36^2)-($L26^2))*$H28*-1,IF(AND(AVERAGE(D26:D43)&gt;270,AVERAGE(D26:D43)-H32&lt;270),SQRT(($H36^2)-($L26^2))*$H28*-1,SQRT(($H36^2)-($L26^2))*$H28))</f>
        <v>0.35263175067107594</v>
      </c>
      <c r="M27" s="551"/>
      <c r="N27" s="62">
        <f>L27*$H31</f>
        <v>352.63175067107596</v>
      </c>
      <c r="O27" s="63">
        <f>AVERAGE($C26:$C43)+N27</f>
        <v>54352.631750671077</v>
      </c>
      <c r="P27" s="555"/>
      <c r="Q27" s="581"/>
      <c r="R27" s="594"/>
      <c r="S27" s="181" t="s">
        <v>253</v>
      </c>
      <c r="T27" s="514">
        <f>(SQRT((($T14-$T16)^2)+($U14-$U16)^2)/$H$10)*1000</f>
        <v>541.6871790987858</v>
      </c>
      <c r="U27" s="515"/>
      <c r="V27" s="80">
        <f>(SQRT((($T20-$T22)^2)+($U20-$U22)^2)/$H$10)*1000</f>
        <v>962.9106916012513</v>
      </c>
      <c r="W27" s="187"/>
      <c r="X27" s="187"/>
      <c r="Y27" s="187"/>
      <c r="Z27" s="187"/>
      <c r="AA27" s="85"/>
    </row>
    <row r="28" spans="1:27" ht="21.6" customHeight="1" thickBot="1" x14ac:dyDescent="0.3">
      <c r="A28" s="121"/>
      <c r="B28" s="124"/>
      <c r="C28" s="124"/>
      <c r="D28" s="128"/>
      <c r="E28" s="131"/>
      <c r="F28" s="573"/>
      <c r="G28" s="181" t="s">
        <v>228</v>
      </c>
      <c r="H28" s="188">
        <f>IF(AND(AVERAGE($D26:$D43)&gt;=0,AVERAGE($D26:$D43)&lt;=90),1,IF(AND(AVERAGE($D26:$D43)&gt;90,AVERAGE($D26:$D43)&lt;=270),-1,IF(AND(AVERAGE($D26:$D43)&gt;270,AVERAGE($D26:$D43)&lt;=360),1,"ERROR")))</f>
        <v>1</v>
      </c>
      <c r="I28" s="377"/>
      <c r="J28" s="556"/>
      <c r="K28" s="558" t="str">
        <f>"Max. Power ("&amp;$H25&amp;"W):"</f>
        <v>Max. Power (50W):</v>
      </c>
      <c r="L28" s="186">
        <f>IF((AVERAGE($D26:$D43)-$H32)&lt;0,ABS($H37*SIN($H33))*$H29*-1,IF(AND(AVERAGE(D26:D43)&gt;=180,AVERAGE(D26:D43)-H32&lt;180),ABS($H37*SIN($H33))*$H29*-1,ABS($H37*SIN($H33))*$H29))</f>
        <v>1.5700177074933059</v>
      </c>
      <c r="M28" s="552">
        <f>SQRT(($L28^2)+($L29^2))</f>
        <v>3.8600350723765859</v>
      </c>
      <c r="N28" s="62">
        <f>L28*$H31</f>
        <v>1570.017707493306</v>
      </c>
      <c r="O28" s="63">
        <f>AVERAGE($B26:$B43)+N28</f>
        <v>55570.017707493309</v>
      </c>
      <c r="P28" s="555" t="str">
        <f>$H27&amp;" "&amp;INT(O28)&amp;" "&amp;INT(O29)</f>
        <v>17R MR 55570 57526</v>
      </c>
      <c r="Q28" s="581"/>
      <c r="R28" s="594"/>
      <c r="S28" s="182" t="s">
        <v>254</v>
      </c>
      <c r="T28" s="516">
        <f>(SQRT((((((T27+T26+(SQRT(((T14-T22)^2)+((U14-U22)^2))))/2)*(((T27+T26+(SQRT(((T14-T22)^2)+((U14-U22)^2))))/2)-T27)*(((T27+T26+(SQRT(((T14-T22)^2)+((U14-U22)^2))))/2)-T26)*(((T27+T26+(SQRT(((T14-T22)^2)+((U14-U22)^2))))/2)-(SQRT(((T14-T22)^2)+((U14-U22)^2))))))))+SQRT(((((SQRT(((T14-T22)^2)+((U14-U22)^2)))+V27+V26)/2)*((((SQRT(((T14-T22)^2)+((U14-U22)^2)))+V27+V26)/2)-V26)*((((SQRT(((T14-T22)^2)+((U14-U22)^2)))+V27+V26)/2)-V27)*((((SQRT(((T14-T22)^2)+((U14-U22)^2)))+V27+V26)/2)-(SQRT(((T14-T22)^2)+((U14-U22)^2)))))))/10^6*247.105</f>
        <v>77.657441245000001</v>
      </c>
      <c r="U28" s="517"/>
      <c r="V28" s="83">
        <f>1-(T28/($Q21+$Q42-T28))</f>
        <v>0.94821162910215451</v>
      </c>
      <c r="W28" s="187"/>
      <c r="X28" s="85"/>
      <c r="Y28" s="187"/>
      <c r="Z28" s="187"/>
      <c r="AA28" s="187"/>
    </row>
    <row r="29" spans="1:27" ht="15" customHeight="1" x14ac:dyDescent="0.25">
      <c r="A29" s="121"/>
      <c r="B29" s="124"/>
      <c r="C29" s="124"/>
      <c r="D29" s="128"/>
      <c r="E29" s="131"/>
      <c r="F29" s="573"/>
      <c r="G29" s="181" t="s">
        <v>229</v>
      </c>
      <c r="H29" s="188">
        <f>IF(AND(AVERAGE($D26:$D43)&gt;=0,AVERAGE($D26:$D43)&lt;180),1,IF(AND(AVERAGE($D26:$D43)&gt;=180,AVERAGE($D26:$D43)&lt;=360),-1,"ERROR"))</f>
        <v>1</v>
      </c>
      <c r="I29" s="377"/>
      <c r="J29" s="556"/>
      <c r="K29" s="558"/>
      <c r="L29" s="186">
        <f>IF(AND(AVERAGE(D26:D43)&gt;90,AVERAGE(D26:D43)-H32&lt;90),SQRT(($H37^2)-($L28^2))*$H28*-1,IF(AND(AVERAGE(D26:D43)&gt;270,AVERAGE(D26:D43)-H32&lt;270),SQRT(($H37^2)-($L28^2))*$H28*-1,SQRT(($H37^2)-($L28^2))*$H28))</f>
        <v>3.5263175067107584</v>
      </c>
      <c r="M29" s="552"/>
      <c r="N29" s="62">
        <f>L29*$H31</f>
        <v>3526.3175067107586</v>
      </c>
      <c r="O29" s="63">
        <f>AVERAGE($C26:$C43)+N29</f>
        <v>57526.317506710759</v>
      </c>
      <c r="P29" s="555"/>
      <c r="Q29" s="581"/>
      <c r="R29" s="594"/>
      <c r="S29" s="519" t="str">
        <f>LEFT($A23,5)&amp;" &amp; "&amp;LEFT($A44,5)&amp;" LOB Intersection (CUT)"</f>
        <v>EWT 2 &amp; EWT 3 LOB Intersection (CUT)</v>
      </c>
      <c r="T29" s="519"/>
      <c r="U29" s="519"/>
      <c r="V29" s="520"/>
      <c r="W29" s="187"/>
      <c r="X29" s="187"/>
      <c r="Y29" s="187"/>
      <c r="Z29" s="187"/>
      <c r="AA29" s="187"/>
    </row>
    <row r="30" spans="1:27" ht="15" customHeight="1" thickBot="1" x14ac:dyDescent="0.3">
      <c r="A30" s="121"/>
      <c r="B30" s="124"/>
      <c r="C30" s="124"/>
      <c r="D30" s="128"/>
      <c r="E30" s="131"/>
      <c r="F30" s="573"/>
      <c r="G30" s="181" t="s">
        <v>230</v>
      </c>
      <c r="H30" s="188">
        <f>H9</f>
        <v>4</v>
      </c>
      <c r="I30" s="377"/>
      <c r="J30" s="556" t="str">
        <f>"0° Error"</f>
        <v>0° Error</v>
      </c>
      <c r="K30" s="558" t="str">
        <f>"Min. Power ("&amp;$H24&amp;"W):"</f>
        <v>Min. Power (0.005W):</v>
      </c>
      <c r="L30" s="186">
        <f>ABS($H36*SIN($H34))*$H29</f>
        <v>0.19300175361882932</v>
      </c>
      <c r="M30" s="553">
        <f>SQRT(($L30^2)+($L31^2))</f>
        <v>0.38600350723765869</v>
      </c>
      <c r="N30" s="62">
        <f>L30*$H31</f>
        <v>193.00175361882933</v>
      </c>
      <c r="O30" s="63">
        <f>AVERAGE($B26:$B43)+N30</f>
        <v>54193.001753618832</v>
      </c>
      <c r="P30" s="561" t="str">
        <f>$H27&amp;" "&amp;INT(O30)&amp;" "&amp;INT(O31)</f>
        <v>17R MR 54193 54334</v>
      </c>
      <c r="Q30" s="584" t="str">
        <f>$H27&amp;" "&amp;INT(AVERAGE(O30,O32))&amp;" "&amp;INT(AVERAGE(O31,O33))</f>
        <v>17R MR 55061 55838</v>
      </c>
      <c r="R30" s="594"/>
      <c r="S30" s="547"/>
      <c r="T30" s="547"/>
      <c r="U30" s="547"/>
      <c r="V30" s="523"/>
      <c r="W30" s="187"/>
      <c r="X30" s="187"/>
      <c r="Y30" s="187"/>
      <c r="Z30" s="187"/>
      <c r="AA30" s="187"/>
    </row>
    <row r="31" spans="1:27" ht="15" customHeight="1" thickBot="1" x14ac:dyDescent="0.3">
      <c r="A31" s="121"/>
      <c r="B31" s="124"/>
      <c r="C31" s="124"/>
      <c r="D31" s="128"/>
      <c r="E31" s="131"/>
      <c r="F31" s="573"/>
      <c r="G31" s="181" t="s">
        <v>233</v>
      </c>
      <c r="H31" s="162">
        <f>$H$10</f>
        <v>1000</v>
      </c>
      <c r="I31" s="377"/>
      <c r="J31" s="556"/>
      <c r="K31" s="558"/>
      <c r="L31" s="186">
        <f>SQRT(($H36^2)-($L30^2))*$H28</f>
        <v>0.33428884321770291</v>
      </c>
      <c r="M31" s="553"/>
      <c r="N31" s="62">
        <f>L31*$H31</f>
        <v>334.28884321770289</v>
      </c>
      <c r="O31" s="63">
        <f>AVERAGE($C26:$C43)+N31</f>
        <v>54334.288843217706</v>
      </c>
      <c r="P31" s="561"/>
      <c r="Q31" s="584"/>
      <c r="R31" s="594"/>
      <c r="S31" s="78" t="s">
        <v>238</v>
      </c>
      <c r="T31" s="76" t="s">
        <v>239</v>
      </c>
      <c r="U31" s="76" t="s">
        <v>240</v>
      </c>
      <c r="V31" s="77" t="s">
        <v>241</v>
      </c>
      <c r="W31" s="187"/>
      <c r="X31" s="187"/>
      <c r="Y31" s="187"/>
      <c r="Z31" s="187"/>
      <c r="AA31" s="187"/>
    </row>
    <row r="32" spans="1:27" ht="15" customHeight="1" x14ac:dyDescent="0.25">
      <c r="A32" s="121"/>
      <c r="B32" s="124"/>
      <c r="C32" s="124"/>
      <c r="D32" s="128"/>
      <c r="E32" s="131"/>
      <c r="F32" s="573"/>
      <c r="G32" s="181" t="s">
        <v>235</v>
      </c>
      <c r="H32" s="136">
        <f>$H$11</f>
        <v>6</v>
      </c>
      <c r="I32" s="377"/>
      <c r="J32" s="556"/>
      <c r="K32" s="558" t="str">
        <f>"Max. Power ("&amp;$H25&amp;"W):"</f>
        <v>Max. Power (50W):</v>
      </c>
      <c r="L32" s="186">
        <f>ABS($H37*SIN($H34))*$H29</f>
        <v>1.9300175361882927</v>
      </c>
      <c r="M32" s="553">
        <f>SQRT(($L32^2)+($L33^2))</f>
        <v>3.8600350723765859</v>
      </c>
      <c r="N32" s="62">
        <f>L32*$H31</f>
        <v>1930.0175361882928</v>
      </c>
      <c r="O32" s="63">
        <f>AVERAGE($B26:$B43)+N32</f>
        <v>55930.017536188294</v>
      </c>
      <c r="P32" s="561" t="str">
        <f>$H27&amp;" "&amp;INT(O32)&amp;" "&amp;INT(O33)</f>
        <v>17R MR 55930 57342</v>
      </c>
      <c r="Q32" s="584"/>
      <c r="R32" s="594"/>
      <c r="S32" s="73" t="str">
        <f>LEFT($J26,3)&amp;" &amp; "&amp;LEFT($J47,3)</f>
        <v>-6° &amp; -6°</v>
      </c>
      <c r="T32" s="74">
        <f>IFERROR(INT(($O47-$N47)+($U32-($O48-$N48))*TAN($H54)),"N/A")</f>
        <v>54743</v>
      </c>
      <c r="U32" s="74">
        <f>INT(((($O47-$N47)-($O26-$N26))+($O27-$N27)*TAN($H33)-($O48-$N48)*TAN($H54))/(TAN($H33)-TAN($H54)))</f>
        <v>55669</v>
      </c>
      <c r="V32" s="540" t="str">
        <f>IFERROR($H27&amp;" "&amp;T36&amp;" "&amp;U36,"EWT 2 or EWT 3 have no recorded LOBs or incapatable LOBs")</f>
        <v>17R MR 54866 55500</v>
      </c>
      <c r="W32" s="187"/>
      <c r="X32" s="187"/>
      <c r="Y32" s="187"/>
      <c r="Z32" s="187"/>
      <c r="AA32" s="187"/>
    </row>
    <row r="33" spans="1:23" ht="15" customHeight="1" x14ac:dyDescent="0.25">
      <c r="A33" s="121"/>
      <c r="B33" s="124"/>
      <c r="C33" s="124"/>
      <c r="D33" s="128"/>
      <c r="E33" s="131"/>
      <c r="F33" s="573"/>
      <c r="G33" s="181" t="s">
        <v>236</v>
      </c>
      <c r="H33" s="64">
        <f>IF((AVERAGE($D26:$D43)-$H32)&gt;=0,(AVERAGE($D26:$D43)-$H32)*PI()/180,(360+AVERAGE($D26:$D43)-$H32)*PI()/180)</f>
        <v>0.41887902047863906</v>
      </c>
      <c r="I33" s="377"/>
      <c r="J33" s="556"/>
      <c r="K33" s="558"/>
      <c r="L33" s="186">
        <f>SQRT(($H37^2)-(L32^2))*$H28</f>
        <v>3.3428884321770278</v>
      </c>
      <c r="M33" s="553"/>
      <c r="N33" s="62">
        <f>L33*$H31</f>
        <v>3342.8884321770279</v>
      </c>
      <c r="O33" s="63">
        <f>AVERAGE($C26:$C43)+N33</f>
        <v>57342.888432177031</v>
      </c>
      <c r="P33" s="561"/>
      <c r="Q33" s="584"/>
      <c r="R33" s="594"/>
      <c r="S33" s="72" t="str">
        <f>LEFT($J30,3)&amp;" &amp; "&amp;LEFT($J47,3)</f>
        <v>0°  &amp; -6°</v>
      </c>
      <c r="T33" s="71">
        <f>INT(($O47-$N47)+($U33-($O48-$N48))*TAN($H54))</f>
        <v>54918</v>
      </c>
      <c r="U33" s="71">
        <f>INT(((($O47-$N47)-($O30-$N30))+($O31-$N31)*TAN($H34)-($O48-$N48)*TAN($H54))/(TAN($H34)-TAN($H54)))</f>
        <v>55591</v>
      </c>
      <c r="V33" s="541"/>
      <c r="W33" s="187"/>
    </row>
    <row r="34" spans="1:23" ht="15" customHeight="1" x14ac:dyDescent="0.25">
      <c r="A34" s="121"/>
      <c r="B34" s="124"/>
      <c r="C34" s="124"/>
      <c r="D34" s="128"/>
      <c r="E34" s="131"/>
      <c r="F34" s="573"/>
      <c r="G34" s="181" t="s">
        <v>237</v>
      </c>
      <c r="H34" s="64">
        <f>(AVERAGE($D26:$D43))*PI()/180</f>
        <v>0.52359877559829882</v>
      </c>
      <c r="I34" s="377"/>
      <c r="J34" s="556" t="str">
        <f>"+"&amp;$H32&amp;"° Error"</f>
        <v>+6° Error</v>
      </c>
      <c r="K34" s="558" t="str">
        <f>"Min. Power ("&amp;$H24&amp;"W):"</f>
        <v>Min. Power (0.005W):</v>
      </c>
      <c r="L34" s="186">
        <f>IF((AVERAGE($D26:$D43)+$H32)&gt;360,ABS($H36*SIN($H35))*$H29*-1,IF(AND(AVERAGE(D26:D43)&lt;180,AVERAGE(D26:D43)+H32&gt;180),ABS($H36*SIN($H35))*$H29*-1,ABS($H36*SIN($H35))*$H29))</f>
        <v>0.22688716888746668</v>
      </c>
      <c r="M34" s="552">
        <f>SQRT(($L34^2)+($L35^2))</f>
        <v>0.38600350723765869</v>
      </c>
      <c r="N34" s="62">
        <f>L34*$H31</f>
        <v>226.88716888746669</v>
      </c>
      <c r="O34" s="63">
        <f>AVERAGE($B26:$B43)+N34</f>
        <v>54226.887168887464</v>
      </c>
      <c r="P34" s="555" t="str">
        <f>$H27&amp;" "&amp;INT(O34)&amp;" "&amp;INT(O35)</f>
        <v>17R MR 54226 54312</v>
      </c>
      <c r="Q34" s="582" t="str">
        <f>$H27&amp;" "&amp;INT(AVERAGE(O34,O36))&amp;" "&amp;INT(AVERAGE(O35,O37))</f>
        <v>17R MR 55247 55717</v>
      </c>
      <c r="R34" s="594"/>
      <c r="S34" s="72" t="str">
        <f>LEFT($J34,3)&amp;" &amp; "&amp;LEFT($J47,3)</f>
        <v>+6° &amp; -6°</v>
      </c>
      <c r="T34" s="71">
        <f>INT(($O47-$N47)+($U34-($O48-$N48))*TAN($H54))</f>
        <v>55098</v>
      </c>
      <c r="U34" s="71">
        <f>INT(((($O47-$N47)-($O34-$N34))+($O35-$N35)*TAN($H35)-($O48-$N48)*TAN($H54))/(TAN($H35)-TAN($H54)))</f>
        <v>55511</v>
      </c>
      <c r="V34" s="541"/>
      <c r="W34" s="187"/>
    </row>
    <row r="35" spans="1:23" ht="15" customHeight="1" x14ac:dyDescent="0.25">
      <c r="A35" s="121"/>
      <c r="B35" s="124"/>
      <c r="C35" s="124"/>
      <c r="D35" s="128"/>
      <c r="E35" s="131"/>
      <c r="F35" s="573"/>
      <c r="G35" s="181" t="s">
        <v>242</v>
      </c>
      <c r="H35" s="64">
        <f>IF((AVERAGE($D26:$D43)+$H32)&lt;=360,(AVERAGE($D26:$D43)+$H32)*PI()/180,(AVERAGE($D26:$D43)-360+$H32)*PI()/180)</f>
        <v>0.62831853071795862</v>
      </c>
      <c r="I35" s="377"/>
      <c r="J35" s="556"/>
      <c r="K35" s="558"/>
      <c r="L35" s="186">
        <f>IF(AND(AVERAGE(D26:D43)&lt;=90,AVERAGE(D26:D43)+H32&gt;90),SQRT(($H36^2)-($L34^2))*$H28*-1,IF(AND(AVERAGE(D26:D43)&lt;=270,AVERAGE(D26:D43)+H32&gt;270),SQRT(($H36^2)-($L34^2))*$H28*-1,SQRT(($H36^2)-($L34^2))*$H28))</f>
        <v>0.31228339724359894</v>
      </c>
      <c r="M35" s="552"/>
      <c r="N35" s="62">
        <f>L35*$H31</f>
        <v>312.28339724359893</v>
      </c>
      <c r="O35" s="63">
        <f>AVERAGE($C26:$C43)+N35</f>
        <v>54312.283397243598</v>
      </c>
      <c r="P35" s="555"/>
      <c r="Q35" s="582"/>
      <c r="R35" s="594"/>
      <c r="S35" s="72" t="str">
        <f>LEFT($J26,3)&amp;" &amp; "&amp;LEFT($J51,3)</f>
        <v xml:space="preserve">-6° &amp; 0° </v>
      </c>
      <c r="T35" s="71">
        <f>INT(($O51-$N51)+($U35-($O52-$N52))*TAN($H55))</f>
        <v>54708</v>
      </c>
      <c r="U35" s="71">
        <f>INT(((($O51-$N51)-($O26-$N26))+($O27-$N27)*TAN($H33)-($O52-$N52)*TAN($H55))/(TAN($H33)-TAN($H55)))</f>
        <v>55591</v>
      </c>
      <c r="V35" s="541"/>
      <c r="W35" s="187"/>
    </row>
    <row r="36" spans="1:23" ht="15" customHeight="1" x14ac:dyDescent="0.25">
      <c r="A36" s="121"/>
      <c r="B36" s="124"/>
      <c r="C36" s="124"/>
      <c r="D36" s="128"/>
      <c r="E36" s="131"/>
      <c r="F36" s="573"/>
      <c r="G36" s="181" t="s">
        <v>243</v>
      </c>
      <c r="H36" s="91">
        <f>10^((10*LOG10(1000*$H24)+0-32.4-(10*$H30*LOG10(AVERAGE($A26:$A43)))+0-AVERAGE($E26:$E43))/(10*$H$9))</f>
        <v>0.38600350723765869</v>
      </c>
      <c r="I36" s="377"/>
      <c r="J36" s="556"/>
      <c r="K36" s="558" t="str">
        <f>"Max. Power ("&amp;$H25&amp;"W):"</f>
        <v>Max. Power (50W):</v>
      </c>
      <c r="L36" s="65">
        <f>IF((AVERAGE($D26:$D43)+$H32)&gt;360,ABS($H37*SIN($H35))*$H29*-1,IF(AND(AVERAGE(D26:D43)&lt;180,AVERAGE(D26:D43)+H32&gt;180),ABS($H37*SIN($H35))*$H29*-1,ABS($H37*SIN($H35))*$H29))</f>
        <v>2.2688716888746665</v>
      </c>
      <c r="M36" s="551">
        <f>SQRT(($L36^2)+($L37^2))</f>
        <v>3.8600350723765859</v>
      </c>
      <c r="N36" s="62">
        <f>L36*$H31</f>
        <v>2268.8716888746667</v>
      </c>
      <c r="O36" s="63">
        <f>AVERAGE($B26:$B43)+N36</f>
        <v>56268.871688874664</v>
      </c>
      <c r="P36" s="555" t="str">
        <f>$H27&amp;" "&amp;INT(O36)&amp;" "&amp;INT(O37)</f>
        <v>17R MR 56268 57122</v>
      </c>
      <c r="Q36" s="582"/>
      <c r="R36" s="594"/>
      <c r="S36" s="72" t="s">
        <v>246</v>
      </c>
      <c r="T36" s="71">
        <f>IF(AND($H55&lt;&gt;PI()/2,$H55&lt;&gt;PI()*3/2),INT(($O51-$N51)+($U36-($O52-$N52))*TAN($H55)),IF(AND(H34&lt;&gt;PI()/2,H34&lt;&gt;PI()*3/2),INT(($O30-$N30)+($U36-($O31-$N31))*TAN($H34)),AVERAGE(B26:B43,B47:B64)))</f>
        <v>54866</v>
      </c>
      <c r="U36" s="71">
        <f>INT(((($O51-$N51)-($O30-$N30))+($O31-$N31)*TAN($H34)-($O52-$N52)*TAN($H55))/(TAN($H34)-TAN($H55)))</f>
        <v>55500</v>
      </c>
      <c r="V36" s="541"/>
      <c r="W36" s="187"/>
    </row>
    <row r="37" spans="1:23" ht="15.6" customHeight="1" thickBot="1" x14ac:dyDescent="0.3">
      <c r="A37" s="121"/>
      <c r="B37" s="124"/>
      <c r="C37" s="124"/>
      <c r="D37" s="128"/>
      <c r="E37" s="131"/>
      <c r="F37" s="573"/>
      <c r="G37" s="182" t="s">
        <v>244</v>
      </c>
      <c r="H37" s="92">
        <f>10^((10*LOG10(1000*$H25)+0-32.4-(10*$H30*LOG10(AVERAGE($A26:$A43)))+0-AVERAGE($E26:$E43))/(10*H30))</f>
        <v>3.8600350723765859</v>
      </c>
      <c r="I37" s="377"/>
      <c r="J37" s="557"/>
      <c r="K37" s="559"/>
      <c r="L37" s="66">
        <f>IF(AND(AVERAGE(D26:D43)&lt;=90,AVERAGE(D26:D43)+H32&gt;90),SQRT(($H37^2)-(L36^2))*$H28*-1,IF(AND(AVERAGE(D26:D43)&lt;=270,AVERAGE(D26:D43)+H32&gt;270),SQRT(($H37^2)-(L36^2))*$H28*-1,SQRT(($H37^2)-(L36^2))*$H28))</f>
        <v>3.1228339724359881</v>
      </c>
      <c r="M37" s="554"/>
      <c r="N37" s="67">
        <f>L37*$H31</f>
        <v>3122.833972435988</v>
      </c>
      <c r="O37" s="68">
        <f>AVERAGE($C26:$C43)+N37</f>
        <v>57122.83397243599</v>
      </c>
      <c r="P37" s="560"/>
      <c r="Q37" s="583"/>
      <c r="R37" s="594"/>
      <c r="S37" s="72" t="str">
        <f>LEFT($J34,3)&amp;" &amp; "&amp;LEFT($J51,3)</f>
        <v xml:space="preserve">+6° &amp; 0° </v>
      </c>
      <c r="T37" s="71">
        <f>INT(($O51-$N51)+($U37-($O52-$N52))*TAN($H55))</f>
        <v>55025</v>
      </c>
      <c r="U37" s="71">
        <f>INT(((($O51-$N51)-($O34-$N34))+($O35-$N35)*TAN($H35)-($O52-$N52)*TAN($H55))/(TAN($H35)-TAN($H55)))</f>
        <v>55408</v>
      </c>
      <c r="V37" s="541"/>
      <c r="W37" s="187"/>
    </row>
    <row r="38" spans="1:23" ht="16.5" thickBot="1" x14ac:dyDescent="0.3">
      <c r="A38" s="121"/>
      <c r="B38" s="124"/>
      <c r="C38" s="124"/>
      <c r="D38" s="128"/>
      <c r="E38" s="131"/>
      <c r="F38" s="573"/>
      <c r="G38" s="596" t="str">
        <f>"Notes regarding "&amp;LEFT(A23,5)&amp;":"</f>
        <v>Notes regarding EWT 2:</v>
      </c>
      <c r="H38" s="597"/>
      <c r="I38" s="597"/>
      <c r="J38" s="597"/>
      <c r="K38" s="597"/>
      <c r="L38" s="597"/>
      <c r="M38" s="597"/>
      <c r="N38" s="597"/>
      <c r="O38" s="597"/>
      <c r="P38" s="575" t="str">
        <f>LEFT($A23,5)&amp;" LOB Error:"</f>
        <v>EWT 2 LOB Error:</v>
      </c>
      <c r="Q38" s="525"/>
      <c r="R38" s="594"/>
      <c r="S38" s="72" t="str">
        <f>LEFT($J26,3)&amp;" &amp; "&amp;LEFT($J55,3)</f>
        <v>-6° &amp; +6°</v>
      </c>
      <c r="T38" s="71">
        <f>INT(($O55-$N55)+($U38-($O56-$N56))*TAN($H56))</f>
        <v>54673</v>
      </c>
      <c r="U38" s="71">
        <f>INT(((($O55-$N55)-($O26-$N26))+($O27-$N27)*TAN($H33)-($O56-$N56)*TAN($H56))/(TAN($H33)-TAN($H56)))</f>
        <v>55511</v>
      </c>
      <c r="V38" s="541"/>
      <c r="W38" s="187"/>
    </row>
    <row r="39" spans="1:23" ht="15" customHeight="1" x14ac:dyDescent="0.25">
      <c r="A39" s="121"/>
      <c r="B39" s="124"/>
      <c r="C39" s="124"/>
      <c r="D39" s="128"/>
      <c r="E39" s="131"/>
      <c r="F39" s="573"/>
      <c r="G39" s="307"/>
      <c r="H39" s="308"/>
      <c r="I39" s="308"/>
      <c r="J39" s="308"/>
      <c r="K39" s="308"/>
      <c r="L39" s="308"/>
      <c r="M39" s="308"/>
      <c r="N39" s="308"/>
      <c r="O39" s="309"/>
      <c r="P39" s="60" t="s">
        <v>245</v>
      </c>
      <c r="Q39" s="179">
        <f>(SQRT(((AVERAGE(SQRT(($O28-$O26)^2+($O29-$O27)^2),SQRT(($O36-$O34)^2+($O37-$O35)^2)))^2)-((($Q41-$Q40)/2)^2))/$H$10)*1000</f>
        <v>3455.0004567311767</v>
      </c>
      <c r="R39" s="594"/>
      <c r="S39" s="72" t="str">
        <f>LEFT($J30,3)&amp;" &amp; "&amp;LEFT($J55,3)</f>
        <v>0°  &amp; +6°</v>
      </c>
      <c r="T39" s="71">
        <f>INT(($O55-$N55)+($U39-($O56-$N56))*TAN($H56))</f>
        <v>54814</v>
      </c>
      <c r="U39" s="71">
        <f>INT(((($O55-$N55)-($O30-$N30))+($O31-$N31)*TAN($H34)-($O56-$N56)*TAN($H56))/(TAN($H34)-TAN($H56)))</f>
        <v>55408</v>
      </c>
      <c r="V39" s="541"/>
      <c r="W39" s="187"/>
    </row>
    <row r="40" spans="1:23" ht="16.5" thickBot="1" x14ac:dyDescent="0.3">
      <c r="A40" s="121"/>
      <c r="B40" s="125"/>
      <c r="C40" s="125"/>
      <c r="D40" s="128"/>
      <c r="E40" s="131"/>
      <c r="F40" s="573"/>
      <c r="G40" s="532"/>
      <c r="H40" s="607"/>
      <c r="I40" s="607"/>
      <c r="J40" s="607"/>
      <c r="K40" s="607"/>
      <c r="L40" s="607"/>
      <c r="M40" s="607"/>
      <c r="N40" s="607"/>
      <c r="O40" s="608"/>
      <c r="P40" s="52" t="s">
        <v>247</v>
      </c>
      <c r="Q40" s="176">
        <f>(AVERAGE(SQRT(($O26-$O34)^2+($O27-$O35)^2))/$H31)*1000</f>
        <v>80.696706854951671</v>
      </c>
      <c r="R40" s="594"/>
      <c r="S40" s="79" t="str">
        <f>LEFT($J34,3)&amp;" &amp; "&amp;LEFT($J55,3)</f>
        <v>+6° &amp; +6°</v>
      </c>
      <c r="T40" s="75">
        <f>INT(($O55-$N55)+($U40-($O56-$N56))*TAN($H56))</f>
        <v>54951</v>
      </c>
      <c r="U40" s="75">
        <f>INT(((($O55-$N55)-($O34-$N34))+($O35-$N35)*TAN($H35)-($O56-$N56)*TAN($H56))/(TAN($H35)-TAN($H56)))</f>
        <v>55309</v>
      </c>
      <c r="V40" s="542"/>
      <c r="W40" s="187"/>
    </row>
    <row r="41" spans="1:23" ht="22.9" customHeight="1" x14ac:dyDescent="0.25">
      <c r="A41" s="121"/>
      <c r="B41" s="124"/>
      <c r="C41" s="124"/>
      <c r="D41" s="128"/>
      <c r="E41" s="131"/>
      <c r="F41" s="573"/>
      <c r="G41" s="532"/>
      <c r="H41" s="607"/>
      <c r="I41" s="607"/>
      <c r="J41" s="607"/>
      <c r="K41" s="607"/>
      <c r="L41" s="607"/>
      <c r="M41" s="607"/>
      <c r="N41" s="607"/>
      <c r="O41" s="608"/>
      <c r="P41" s="52" t="s">
        <v>248</v>
      </c>
      <c r="Q41" s="176">
        <f>((AVERAGE(SQRT(($O28-$O36)^2+($O29-$O37)^2))/$H31)*1000)</f>
        <v>806.9670685495347</v>
      </c>
      <c r="R41" s="594"/>
      <c r="S41" s="308" t="str">
        <f>"TGT Distance from "&amp;LEFT($A23,5)&amp;" (km)"</f>
        <v>TGT Distance from EWT 2 (km)</v>
      </c>
      <c r="T41" s="536"/>
      <c r="U41" s="544">
        <f>SQRT((($T36-AVERAGE($B$26:$B$43))^2)+(($U36-AVERAGE($C$26:$C$43))^2))/1000</f>
        <v>1.7320381058163818</v>
      </c>
      <c r="V41" s="545"/>
      <c r="W41" s="86"/>
    </row>
    <row r="42" spans="1:23" ht="15.75" thickBot="1" x14ac:dyDescent="0.3">
      <c r="A42" s="121"/>
      <c r="B42" s="124"/>
      <c r="C42" s="124"/>
      <c r="D42" s="128"/>
      <c r="E42" s="131"/>
      <c r="F42" s="573"/>
      <c r="G42" s="532"/>
      <c r="H42" s="607"/>
      <c r="I42" s="607"/>
      <c r="J42" s="607"/>
      <c r="K42" s="607"/>
      <c r="L42" s="607"/>
      <c r="M42" s="607"/>
      <c r="N42" s="607"/>
      <c r="O42" s="608"/>
      <c r="P42" s="52" t="s">
        <v>249</v>
      </c>
      <c r="Q42" s="90">
        <f>((Q40*Q39)+(((Q41-Q40)/2)*Q39))/1000000*247.105</f>
        <v>378.92053669095418</v>
      </c>
      <c r="R42" s="594"/>
      <c r="S42" s="543" t="str">
        <f>"TGT Distance from "&amp;LEFT($A44,5)&amp;" (km)"</f>
        <v>TGT Distance from EWT 3 (km)</v>
      </c>
      <c r="T42" s="535"/>
      <c r="U42" s="546">
        <f>SQRT((($T36-AVERAGE($B$47:$B$64))^2)+(($U36-AVERAGE($C$47:$C$64))^2))/1000</f>
        <v>0.99997799975799462</v>
      </c>
      <c r="V42" s="323"/>
      <c r="W42" s="187"/>
    </row>
    <row r="43" spans="1:23" ht="24" customHeight="1" thickBot="1" x14ac:dyDescent="0.3">
      <c r="A43" s="121"/>
      <c r="B43" s="124"/>
      <c r="C43" s="124"/>
      <c r="D43" s="128"/>
      <c r="E43" s="131"/>
      <c r="F43" s="573"/>
      <c r="G43" s="534"/>
      <c r="H43" s="543"/>
      <c r="I43" s="543"/>
      <c r="J43" s="543"/>
      <c r="K43" s="543"/>
      <c r="L43" s="543"/>
      <c r="M43" s="543"/>
      <c r="N43" s="543"/>
      <c r="O43" s="609"/>
      <c r="P43" s="55" t="s">
        <v>250</v>
      </c>
      <c r="Q43" s="177">
        <f>(PI()*(AVERAGE(Q40:Q41)/1000/2)^2)*247.105</f>
        <v>38.23036262984732</v>
      </c>
      <c r="R43" s="594"/>
      <c r="S43" s="524" t="str">
        <f>LEFT($A23,5)&amp;" &amp; "&amp;LEFT($A44,5)&amp;" LOB Intersection (CUT) Error:"</f>
        <v>EWT 2 &amp; EWT 3 LOB Intersection (CUT) Error:</v>
      </c>
      <c r="T43" s="524"/>
      <c r="U43" s="524"/>
      <c r="V43" s="525"/>
      <c r="W43" s="187"/>
    </row>
    <row r="44" spans="1:23" ht="16.5" thickBot="1" x14ac:dyDescent="0.3">
      <c r="A44" s="585" t="s">
        <v>255</v>
      </c>
      <c r="B44" s="586"/>
      <c r="C44" s="586"/>
      <c r="D44" s="586"/>
      <c r="E44" s="587"/>
      <c r="F44" s="573"/>
      <c r="G44" s="524" t="s">
        <v>207</v>
      </c>
      <c r="H44" s="524"/>
      <c r="I44" s="610"/>
      <c r="J44" s="585" t="str">
        <f>LEFT($A44,5)&amp;" (located at "&amp;IF(ISBLANK($B47),"",$H6)&amp;" "&amp;IF(ISBLANK($B5),"N/A",AVERAGE($B47:$B64))&amp;IF(ISBLANK($C47),""," "&amp;AVERAGE(C47:C64))&amp;")"</f>
        <v>EWT 3 (located at 17R MR 54000 56000)</v>
      </c>
      <c r="K44" s="586"/>
      <c r="L44" s="586"/>
      <c r="M44" s="586"/>
      <c r="N44" s="586"/>
      <c r="O44" s="586"/>
      <c r="P44" s="586"/>
      <c r="Q44" s="587"/>
      <c r="R44" s="594"/>
      <c r="S44" s="183" t="s">
        <v>252</v>
      </c>
      <c r="T44" s="526">
        <f>(SQRT((($T40-$T34)^2)+($U40-$U34)^2)/$H$10)*1000</f>
        <v>249.8259394058191</v>
      </c>
      <c r="U44" s="527"/>
      <c r="V44" s="82">
        <f>(SQRT((($T38-$T32)^2)+($U38-$U32)^2)/$H$10)*1000</f>
        <v>172.81203661782359</v>
      </c>
      <c r="W44" s="187"/>
    </row>
    <row r="45" spans="1:23" ht="15.6" customHeight="1" thickBot="1" x14ac:dyDescent="0.3">
      <c r="A45" s="564"/>
      <c r="B45" s="565"/>
      <c r="C45" s="565"/>
      <c r="D45" s="565"/>
      <c r="E45" s="588"/>
      <c r="F45" s="573"/>
      <c r="G45" s="60" t="s">
        <v>210</v>
      </c>
      <c r="H45" s="133">
        <f>$H$3</f>
        <v>5.0000000000000001E-3</v>
      </c>
      <c r="I45" s="377"/>
      <c r="J45" s="564"/>
      <c r="K45" s="565"/>
      <c r="L45" s="565"/>
      <c r="M45" s="565"/>
      <c r="N45" s="565"/>
      <c r="O45" s="565"/>
      <c r="P45" s="565"/>
      <c r="Q45" s="588"/>
      <c r="R45" s="594"/>
      <c r="S45" s="181" t="s">
        <v>253</v>
      </c>
      <c r="T45" s="514">
        <f>(SQRT((($T32-$T34)^2)+($U32-$U34)^2)/$H$10)*1000</f>
        <v>388.57303045888295</v>
      </c>
      <c r="U45" s="515"/>
      <c r="V45" s="80">
        <f>(SQRT((($T38-$T40)^2)+($U38-$U40)^2)/$H$10)*1000</f>
        <v>343.63934582640564</v>
      </c>
      <c r="W45" s="187"/>
    </row>
    <row r="46" spans="1:23" ht="16.5" thickBot="1" x14ac:dyDescent="0.3">
      <c r="A46" s="53" t="s">
        <v>212</v>
      </c>
      <c r="B46" s="54" t="s">
        <v>213</v>
      </c>
      <c r="C46" s="54" t="s">
        <v>214</v>
      </c>
      <c r="D46" s="54" t="s">
        <v>215</v>
      </c>
      <c r="E46" s="70" t="s">
        <v>216</v>
      </c>
      <c r="F46" s="573"/>
      <c r="G46" s="55" t="s">
        <v>217</v>
      </c>
      <c r="H46" s="134">
        <f>H4</f>
        <v>50</v>
      </c>
      <c r="I46" s="377"/>
      <c r="J46" s="579" t="s">
        <v>218</v>
      </c>
      <c r="K46" s="549"/>
      <c r="L46" s="548" t="s">
        <v>219</v>
      </c>
      <c r="M46" s="549"/>
      <c r="N46" s="56" t="s">
        <v>220</v>
      </c>
      <c r="O46" s="70" t="s">
        <v>221</v>
      </c>
      <c r="P46" s="576" t="s">
        <v>222</v>
      </c>
      <c r="Q46" s="577"/>
      <c r="R46" s="594"/>
      <c r="S46" s="182" t="s">
        <v>254</v>
      </c>
      <c r="T46" s="516">
        <f>(SQRT((((((T45+T44+(SQRT(((T32-T40)^2)+((U32-U40)^2))))/2)*(((T45+T44+(SQRT(((T32-T40)^2)+((U32-U40)^2))))/2)-T45)*(((T45+T44+(SQRT(((T32-T40)^2)+((U32-U40)^2))))/2)-T44)*(((T45+T44+(SQRT(((T32-T40)^2)+((U32-U40)^2))))/2)-(SQRT(((T32-T40)^2)+((U32-U40)^2))))))))+SQRT(((((SQRT(((T32-T40)^2)+((U32-U40)^2)))+V45+V44)/2)*((((SQRT(((T32-T40)^2)+((U32-U40)^2)))+V45+V44)/2)-V44)*((((SQRT(((T32-T40)^2)+((U32-U40)^2)))+V45+V44)/2)-V45)*((((SQRT(((T32-T40)^2)+((U32-U40)^2)))+V45+V44)/2)-(SQRT(((T32-T40)^2)+((U32-U40)^2)))))))/10^6*247.105</f>
        <v>18.903532499999997</v>
      </c>
      <c r="U46" s="517"/>
      <c r="V46" s="83">
        <f>1-($T46/($Q42+$Q63-T46))</f>
        <v>0.96701528001352233</v>
      </c>
      <c r="W46" s="187"/>
    </row>
    <row r="47" spans="1:23" ht="22.9" customHeight="1" thickBot="1" x14ac:dyDescent="0.3">
      <c r="A47" s="120">
        <v>60</v>
      </c>
      <c r="B47" s="123">
        <v>54000</v>
      </c>
      <c r="C47" s="123">
        <v>56000</v>
      </c>
      <c r="D47" s="127">
        <v>120</v>
      </c>
      <c r="E47" s="130">
        <v>-75</v>
      </c>
      <c r="F47" s="573"/>
      <c r="G47" s="522" t="s">
        <v>223</v>
      </c>
      <c r="H47" s="522"/>
      <c r="I47" s="377"/>
      <c r="J47" s="570" t="str">
        <f>"-"&amp;$H53&amp;"° Error"</f>
        <v>-6° Error</v>
      </c>
      <c r="K47" s="578" t="str">
        <f>"Min. Power ("&amp;$H45&amp;"W):"</f>
        <v>Min. Power (0.005W):</v>
      </c>
      <c r="L47" s="57">
        <f>IF((AVERAGE($D47:$D64)-$H53)&lt;0,ABS($H57*SIN($H54))*$H50*-1,IF(AND(AVERAGE(D47:D64)&gt;=180,AVERAGE(D47:D64)-H53&lt;180),ABS($H57*SIN($H54))*$H50*-1,ABS($H57*SIN($H54))*$H50))</f>
        <v>0.26443650785500622</v>
      </c>
      <c r="M47" s="550">
        <f>SQRT(($L47^2)+($L48^2))</f>
        <v>0.28946179485953899</v>
      </c>
      <c r="N47" s="58">
        <f>L47*$H52</f>
        <v>264.4365078550062</v>
      </c>
      <c r="O47" s="59">
        <f>AVERAGE($B47:$B64)+N47</f>
        <v>54264.436507855004</v>
      </c>
      <c r="P47" s="569" t="str">
        <f>$H48&amp;" "&amp;INT(O47)&amp;" "&amp;INT(O48)</f>
        <v>17R MR 54264 55882</v>
      </c>
      <c r="Q47" s="580" t="str">
        <f>$H48&amp;" "&amp;INT(AVERAGE(O47,O49))&amp;" "&amp;INT(AVERAGE(O48,O50))</f>
        <v>17R MR 55454 55352</v>
      </c>
      <c r="R47" s="594"/>
      <c r="S47" s="519" t="str">
        <f>LEFT($A44,5)&amp;" &amp; "&amp;LEFT($A3,5)&amp;" LOB Intersection (CUT)"</f>
        <v>EWT 3 &amp; EWT 1 LOB Intersection (CUT)</v>
      </c>
      <c r="T47" s="519"/>
      <c r="U47" s="519"/>
      <c r="V47" s="520"/>
      <c r="W47" s="187"/>
    </row>
    <row r="48" spans="1:23" ht="15" customHeight="1" thickBot="1" x14ac:dyDescent="0.3">
      <c r="A48" s="121"/>
      <c r="B48" s="124"/>
      <c r="C48" s="124"/>
      <c r="D48" s="128"/>
      <c r="E48" s="131"/>
      <c r="F48" s="573"/>
      <c r="G48" s="183" t="s">
        <v>226</v>
      </c>
      <c r="H48" s="135" t="str">
        <f>$H$6</f>
        <v>17R MR</v>
      </c>
      <c r="I48" s="377"/>
      <c r="J48" s="556"/>
      <c r="K48" s="558"/>
      <c r="L48" s="61">
        <f>IF(AND(AVERAGE(D47:D64)&gt;90,AVERAGE(D47:D64)-H53&lt;90),SQRT(($H57^2)-($L47^2))*$H49*-1,IF(AND(AVERAGE(D47:D64)&gt;270,AVERAGE(D47:D64)-H53&lt;270),SQRT(($H57^2)-($L47^2))*$H49*-1,SQRT(($H57^2)-($L47^2))*$H49))</f>
        <v>-0.11773471873986474</v>
      </c>
      <c r="M48" s="551"/>
      <c r="N48" s="62">
        <f>L48*$H52</f>
        <v>-117.73471873986475</v>
      </c>
      <c r="O48" s="63">
        <f>AVERAGE($C47:$C64)+N48</f>
        <v>55882.265281260137</v>
      </c>
      <c r="P48" s="555"/>
      <c r="Q48" s="581"/>
      <c r="R48" s="594"/>
      <c r="S48" s="547"/>
      <c r="T48" s="547"/>
      <c r="U48" s="547"/>
      <c r="V48" s="523"/>
      <c r="W48" s="187"/>
    </row>
    <row r="49" spans="1:23" ht="15" customHeight="1" thickBot="1" x14ac:dyDescent="0.3">
      <c r="A49" s="121"/>
      <c r="B49" s="124"/>
      <c r="C49" s="124"/>
      <c r="D49" s="128"/>
      <c r="E49" s="131"/>
      <c r="F49" s="573"/>
      <c r="G49" s="181" t="s">
        <v>228</v>
      </c>
      <c r="H49" s="188">
        <f>IF(AND(AVERAGE($D47:$D64)&gt;=0,AVERAGE($D47:$D64)&lt;=90),1,IF(AND(AVERAGE($D47:$D64)&gt;90,AVERAGE($D47:$D64)&lt;=270),-1,IF(AND(AVERAGE($D47:$D64)&gt;270,AVERAGE($D47:$D64)&lt;=360),1,"ERROR")))</f>
        <v>-1</v>
      </c>
      <c r="I49" s="377"/>
      <c r="J49" s="556"/>
      <c r="K49" s="558" t="str">
        <f>"Max. Power ("&amp;$H46&amp;"W):"</f>
        <v>Max. Power (50W):</v>
      </c>
      <c r="L49" s="186">
        <f>IF((AVERAGE($D47:$D64)-$H53)&lt;0,ABS($H58*SIN($H54))*$H50*-1,IF(AND(AVERAGE(D47:D64)&gt;=180,AVERAGE(D47:D64)-H53&lt;180),ABS($H58*SIN($H54))*$H50*-1,ABS($H58*SIN($H54))*$H50))</f>
        <v>2.6443650785500616</v>
      </c>
      <c r="M49" s="552">
        <f>SQRT(($L49^2)+($L50^2))</f>
        <v>2.8946179485953891</v>
      </c>
      <c r="N49" s="62">
        <f>L49*$H52</f>
        <v>2644.3650785500618</v>
      </c>
      <c r="O49" s="63">
        <f>AVERAGE($B47:$B64)+N49</f>
        <v>56644.365078550065</v>
      </c>
      <c r="P49" s="555" t="str">
        <f>$H48&amp;" "&amp;INT(O49)&amp;" "&amp;INT(O50)</f>
        <v>17R MR 56644 54822</v>
      </c>
      <c r="Q49" s="581"/>
      <c r="R49" s="594"/>
      <c r="S49" s="78" t="s">
        <v>238</v>
      </c>
      <c r="T49" s="76" t="s">
        <v>239</v>
      </c>
      <c r="U49" s="76" t="s">
        <v>240</v>
      </c>
      <c r="V49" s="77" t="s">
        <v>241</v>
      </c>
      <c r="W49" s="187"/>
    </row>
    <row r="50" spans="1:23" ht="15" customHeight="1" x14ac:dyDescent="0.25">
      <c r="A50" s="121"/>
      <c r="B50" s="124"/>
      <c r="C50" s="124"/>
      <c r="D50" s="128"/>
      <c r="E50" s="131"/>
      <c r="F50" s="573"/>
      <c r="G50" s="181" t="s">
        <v>229</v>
      </c>
      <c r="H50" s="188">
        <f>IF(AND(AVERAGE($D47:$D64)&gt;=0,AVERAGE($D47:$D64)&lt;180),1,IF(AND(AVERAGE($D47:$D64)&gt;=180,AVERAGE($D47:$D64)&lt;=360),-1,"ERROR"))</f>
        <v>1</v>
      </c>
      <c r="I50" s="377"/>
      <c r="J50" s="556"/>
      <c r="K50" s="558"/>
      <c r="L50" s="186">
        <f>IF(AND(AVERAGE(D47:D64)&gt;90,AVERAGE(D47:D64)-H53&lt;90),SQRT(($H58^2)-($L49^2))*$H49*-1,IF(AND(AVERAGE(D47:D64)&gt;270,AVERAGE(D47:D64)-H53&lt;270),SQRT(($H58^2)-($L49^2))*$H49*-1,SQRT(($H58^2)-($L49^2))*$H49))</f>
        <v>-1.1773471873986476</v>
      </c>
      <c r="M50" s="552"/>
      <c r="N50" s="62">
        <f>L50*$H52</f>
        <v>-1177.3471873986475</v>
      </c>
      <c r="O50" s="63">
        <f>AVERAGE($C47:$C64)+N50</f>
        <v>54822.652812601351</v>
      </c>
      <c r="P50" s="555"/>
      <c r="Q50" s="581"/>
      <c r="R50" s="594"/>
      <c r="S50" s="73" t="str">
        <f>LEFT($J47,3)&amp;" &amp; "&amp;LEFT($J5,3)</f>
        <v>-6° &amp; -6°</v>
      </c>
      <c r="T50" s="74">
        <f>INT(($O5-$N5)+($U50-($O6-$N6))*TAN($H12))</f>
        <v>54547</v>
      </c>
      <c r="U50" s="74">
        <f>INT(((($O5-$N5)-($O47-$N47))+($O48-$N48)*TAN($H54)-($O6-$N6)*TAN($H12))/(TAN($H54)-TAN($H12)))</f>
        <v>55755</v>
      </c>
      <c r="V50" s="540" t="str">
        <f>IFERROR($H48&amp;" "&amp;T54&amp;" "&amp;U54,"EWT 1 or EWT 3 have no recorded LOBs or incapatable LOBs")</f>
        <v>17R MR 54673 55609</v>
      </c>
      <c r="W50" s="187"/>
    </row>
    <row r="51" spans="1:23" ht="15" customHeight="1" x14ac:dyDescent="0.25">
      <c r="A51" s="121"/>
      <c r="B51" s="124"/>
      <c r="C51" s="124"/>
      <c r="D51" s="128"/>
      <c r="E51" s="131"/>
      <c r="F51" s="573"/>
      <c r="G51" s="181" t="s">
        <v>230</v>
      </c>
      <c r="H51" s="188">
        <f>H30</f>
        <v>4</v>
      </c>
      <c r="I51" s="377"/>
      <c r="J51" s="556" t="str">
        <f>"0° Error"</f>
        <v>0° Error</v>
      </c>
      <c r="K51" s="558" t="str">
        <f>"Min. Power ("&amp;$H45&amp;"W):"</f>
        <v>Min. Power (0.005W):</v>
      </c>
      <c r="L51" s="186">
        <f>ABS($H57*SIN($H55))*$H50</f>
        <v>0.25068126777340061</v>
      </c>
      <c r="M51" s="553">
        <f>SQRT(($L51^2)+($L52^2))</f>
        <v>0.28946179485953899</v>
      </c>
      <c r="N51" s="62">
        <f>L51*$H52</f>
        <v>250.68126777340061</v>
      </c>
      <c r="O51" s="63">
        <f>AVERAGE($B47:$B64)+N51</f>
        <v>54250.681267773398</v>
      </c>
      <c r="P51" s="561" t="str">
        <f>$H48&amp;" "&amp;INT(O51)&amp;" "&amp;INT(O52)</f>
        <v>17R MR 54250 55855</v>
      </c>
      <c r="Q51" s="584" t="str">
        <f>$H48&amp;" "&amp;INT(AVERAGE(O51,O53))&amp;" "&amp;INT(AVERAGE(O52,O54))</f>
        <v>17R MR 55378 55203</v>
      </c>
      <c r="R51" s="594"/>
      <c r="S51" s="72" t="str">
        <f>LEFT($J51,3)&amp;" &amp; "&amp;LEFT($J5,3)</f>
        <v>0°  &amp; -6°</v>
      </c>
      <c r="T51" s="71">
        <f>INT(($O5-$N5)+($U51-($O6-$N6))*TAN($H12))</f>
        <v>54480</v>
      </c>
      <c r="U51" s="71">
        <f>INT(((($O5-$N5)-($O51-$N51))+($O52-$N52)*TAN($H55)-($O6-$N6)*TAN($H12))/(TAN($H55)-TAN($H12)))</f>
        <v>55722</v>
      </c>
      <c r="V51" s="541"/>
      <c r="W51" s="187"/>
    </row>
    <row r="52" spans="1:23" ht="15" customHeight="1" x14ac:dyDescent="0.25">
      <c r="A52" s="121"/>
      <c r="B52" s="124"/>
      <c r="C52" s="124"/>
      <c r="D52" s="128"/>
      <c r="E52" s="131"/>
      <c r="F52" s="573"/>
      <c r="G52" s="181" t="s">
        <v>233</v>
      </c>
      <c r="H52" s="162">
        <f>$H$10</f>
        <v>1000</v>
      </c>
      <c r="I52" s="377"/>
      <c r="J52" s="556"/>
      <c r="K52" s="558"/>
      <c r="L52" s="186">
        <f>SQRT(($H57^2)-($L51^2))*$H49</f>
        <v>-0.1447308974297695</v>
      </c>
      <c r="M52" s="553"/>
      <c r="N52" s="62">
        <f>L52*$H52</f>
        <v>-144.7308974297695</v>
      </c>
      <c r="O52" s="63">
        <f>AVERAGE($C47:$C64)+N52</f>
        <v>55855.26910257023</v>
      </c>
      <c r="P52" s="561"/>
      <c r="Q52" s="584"/>
      <c r="R52" s="594"/>
      <c r="S52" s="72" t="str">
        <f>LEFT($J55,3)&amp;" &amp; "&amp;LEFT($J5,3)</f>
        <v>+6° &amp; -6°</v>
      </c>
      <c r="T52" s="71">
        <f>INT(($O5-$N5)+($U52-($O6-$N6))*TAN($H12))</f>
        <v>54420</v>
      </c>
      <c r="U52" s="71">
        <f>INT(((($O5-$N5)-($O55-$N55))+($O56-$N56)*TAN($H56)-($O6-$N6)*TAN($H12))/(TAN($H56)-TAN($H12)))</f>
        <v>55693</v>
      </c>
      <c r="V52" s="541"/>
      <c r="W52" s="187"/>
    </row>
    <row r="53" spans="1:23" ht="15" customHeight="1" x14ac:dyDescent="0.25">
      <c r="A53" s="121"/>
      <c r="B53" s="124"/>
      <c r="C53" s="124"/>
      <c r="D53" s="128"/>
      <c r="E53" s="131"/>
      <c r="F53" s="573"/>
      <c r="G53" s="181" t="s">
        <v>235</v>
      </c>
      <c r="H53" s="136">
        <f>$H$11</f>
        <v>6</v>
      </c>
      <c r="I53" s="377"/>
      <c r="J53" s="556"/>
      <c r="K53" s="558" t="str">
        <f>"Max. Power ("&amp;$H46&amp;"W):"</f>
        <v>Max. Power (50W):</v>
      </c>
      <c r="L53" s="186">
        <f>ABS($H58*SIN($H55))*$H50</f>
        <v>2.5068126777340054</v>
      </c>
      <c r="M53" s="553">
        <f>SQRT(($L53^2)+($L54^2))</f>
        <v>2.8946179485953891</v>
      </c>
      <c r="N53" s="62">
        <f>L53*$H52</f>
        <v>2506.8126777340053</v>
      </c>
      <c r="O53" s="63">
        <f>AVERAGE($B47:$B64)+N53</f>
        <v>56506.812677734008</v>
      </c>
      <c r="P53" s="561" t="str">
        <f>$H48&amp;" "&amp;INT(O53)&amp;" "&amp;INT(O54)</f>
        <v>17R MR 56506 54552</v>
      </c>
      <c r="Q53" s="584"/>
      <c r="R53" s="594"/>
      <c r="S53" s="72" t="str">
        <f>LEFT($J47,3)&amp;" &amp; "&amp;LEFT($J9,3)</f>
        <v xml:space="preserve">-6° &amp; 0° </v>
      </c>
      <c r="T53" s="71">
        <f>INT(($O9-$N9)+($U53-($O10-$N10))*TAN($H13))</f>
        <v>54785</v>
      </c>
      <c r="U53" s="71">
        <f>INT(((($O9-$N9)-($O47-$N47))+($O48-$N48)*TAN($H54)-($O10-$N10)*TAN($H13))/(TAN($H54)-TAN($H13)))</f>
        <v>55650</v>
      </c>
      <c r="V53" s="541"/>
      <c r="W53" s="187"/>
    </row>
    <row r="54" spans="1:23" ht="15" customHeight="1" x14ac:dyDescent="0.25">
      <c r="A54" s="121"/>
      <c r="B54" s="124"/>
      <c r="C54" s="124"/>
      <c r="D54" s="128"/>
      <c r="E54" s="131"/>
      <c r="F54" s="573"/>
      <c r="G54" s="181" t="s">
        <v>236</v>
      </c>
      <c r="H54" s="64">
        <f>IF((AVERAGE($D47:$D64)-$H53)&gt;=0,(AVERAGE($D47:$D64)-$H53)*PI()/180,(360+AVERAGE($D47:$D64)-$H53)*PI()/180)</f>
        <v>1.9896753472735356</v>
      </c>
      <c r="I54" s="377"/>
      <c r="J54" s="556"/>
      <c r="K54" s="558"/>
      <c r="L54" s="186">
        <f>SQRT(($H58^2)-(L53^2))*$H49</f>
        <v>-1.4473089742976946</v>
      </c>
      <c r="M54" s="553"/>
      <c r="N54" s="62">
        <f>L54*$H52</f>
        <v>-1447.3089742976945</v>
      </c>
      <c r="O54" s="63">
        <f>AVERAGE($C47:$C64)+N54</f>
        <v>54552.691025702305</v>
      </c>
      <c r="P54" s="561"/>
      <c r="Q54" s="584"/>
      <c r="R54" s="594"/>
      <c r="S54" s="72" t="s">
        <v>246</v>
      </c>
      <c r="T54" s="71">
        <f>IF(AND($H$13&lt;&gt;PI()/2,$H$13&lt;&gt;PI()*3/2),INT(($O9-$N9)+($U54-($O10-$N10))*TAN($H13)),IF(AND($H55&lt;&gt;PI()/2,$H55&lt;&gt;PI()*3/2),INT(($O51-$N51)+($U54-($O52-$N52))*TAN($H55)),AVERAGE(B5:B22,B47:B64)))</f>
        <v>54673</v>
      </c>
      <c r="U54" s="71">
        <f>INT(((($O9-$N9)-($O51-$N51))+($O52-$N52)*TAN($H55)-($O10-$N10)*TAN($H13))/(TAN($H55)-TAN($H13)))</f>
        <v>55609</v>
      </c>
      <c r="V54" s="541"/>
      <c r="W54" s="187"/>
    </row>
    <row r="55" spans="1:23" ht="15" customHeight="1" x14ac:dyDescent="0.25">
      <c r="A55" s="121"/>
      <c r="B55" s="124"/>
      <c r="C55" s="124"/>
      <c r="D55" s="128"/>
      <c r="E55" s="131"/>
      <c r="F55" s="573"/>
      <c r="G55" s="181" t="s">
        <v>237</v>
      </c>
      <c r="H55" s="64">
        <f>(AVERAGE($D47:$D48))*PI()/180</f>
        <v>2.0943951023931953</v>
      </c>
      <c r="I55" s="377"/>
      <c r="J55" s="556" t="str">
        <f>"+"&amp;$H53&amp;"° Error"</f>
        <v>+6° Error</v>
      </c>
      <c r="K55" s="558" t="str">
        <f>"Min. Power ("&amp;$H45&amp;"W):"</f>
        <v>Min. Power (0.005W):</v>
      </c>
      <c r="L55" s="186">
        <f>IF((AVERAGE($D47:$D64)+$H53)&gt;360,ABS($H57*SIN($H56))*$H50*-1,IF(AND(AVERAGE(D47:D64)&lt;180,AVERAGE(D47:D64)+H53&gt;180),ABS($H57*SIN($H56))*$H50*-1,ABS($H57*SIN($H56))*$H50))</f>
        <v>0.23417951126364184</v>
      </c>
      <c r="M55" s="552">
        <f>SQRT(($L55^2)+($L56^2))</f>
        <v>0.28946179485953899</v>
      </c>
      <c r="N55" s="62">
        <f>L55*$H52</f>
        <v>234.17951126364184</v>
      </c>
      <c r="O55" s="63">
        <f>AVERAGE($B47:$B64)+N55</f>
        <v>54234.179511263639</v>
      </c>
      <c r="P55" s="555" t="str">
        <f>$H48&amp;" "&amp;INT(O55)&amp;" "&amp;INT(O56)</f>
        <v>17R MR 54234 55829</v>
      </c>
      <c r="Q55" s="582" t="str">
        <f>$H48&amp;" "&amp;INT(AVERAGE(O55,O57))&amp;" "&amp;INT(AVERAGE(O56,O58))</f>
        <v>17R MR 55287 55064</v>
      </c>
      <c r="R55" s="594"/>
      <c r="S55" s="72" t="str">
        <f>LEFT($J55,3)&amp;" &amp; "&amp;LEFT($J9,3)</f>
        <v xml:space="preserve">+6° &amp; 0° </v>
      </c>
      <c r="T55" s="71">
        <f>INT(($O9-$N9)+($U55-($O10-$N10))*TAN($H13))</f>
        <v>54582</v>
      </c>
      <c r="U55" s="71">
        <f>INT(((($O9-$N9)-($O55-$N55))+($O56-$N56)*TAN($H56)-($O10-$N10)*TAN($H13))/(TAN($H56)-TAN($H13)))</f>
        <v>55576</v>
      </c>
      <c r="V55" s="541"/>
      <c r="W55" s="187"/>
    </row>
    <row r="56" spans="1:23" ht="15" customHeight="1" x14ac:dyDescent="0.25">
      <c r="A56" s="121"/>
      <c r="B56" s="124"/>
      <c r="C56" s="124"/>
      <c r="D56" s="128"/>
      <c r="E56" s="131"/>
      <c r="F56" s="573"/>
      <c r="G56" s="181" t="s">
        <v>242</v>
      </c>
      <c r="H56" s="64">
        <f>IF((AVERAGE($D47:$D64)+$H53)&lt;=360,(AVERAGE($D47:$D64)+$H53)*PI()/180,(AVERAGE($D47:$D64)-360+$H53)*PI()/180)</f>
        <v>2.1991148575128552</v>
      </c>
      <c r="I56" s="377"/>
      <c r="J56" s="556"/>
      <c r="K56" s="558"/>
      <c r="L56" s="186">
        <f>IF(AND(AVERAGE(D47:D64)&lt;=90,AVERAGE(D47:D64)+H53&gt;90),SQRT(($H57^2)-($L55^2))*$H49*-1,IF(AND(AVERAGE(D47:D64)&lt;=270,AVERAGE(D47:D64)+H53&gt;270),SQRT(($H57^2)-($L55^2))*$H49*-1,SQRT(($H57^2)-($L55^2))*$H49))</f>
        <v>-0.17014137412054622</v>
      </c>
      <c r="M56" s="552"/>
      <c r="N56" s="62">
        <f>L56*$H52</f>
        <v>-170.14137412054623</v>
      </c>
      <c r="O56" s="63">
        <f>AVERAGE($C47:$C64)+N56</f>
        <v>55829.858625879453</v>
      </c>
      <c r="P56" s="555"/>
      <c r="Q56" s="582"/>
      <c r="R56" s="594"/>
      <c r="S56" s="72" t="str">
        <f>LEFT($J47,3)&amp;" &amp; "&amp;LEFT($J13,3)</f>
        <v>-6° &amp; +6°</v>
      </c>
      <c r="T56" s="71">
        <f>INT(($O13-$N13)+($U56-($O14-$N14))*TAN($H14))</f>
        <v>55077</v>
      </c>
      <c r="U56" s="71">
        <f>INT(((($O13-$N13)-($O47-$N47))+($O48-$N48)*TAN($H54)-($O14-$N14)*TAN($H14))/(TAN($H54)-TAN($H14)))</f>
        <v>55518</v>
      </c>
      <c r="V56" s="541"/>
      <c r="W56" s="187"/>
    </row>
    <row r="57" spans="1:23" ht="15" customHeight="1" x14ac:dyDescent="0.25">
      <c r="A57" s="121"/>
      <c r="B57" s="124"/>
      <c r="C57" s="124"/>
      <c r="D57" s="128"/>
      <c r="E57" s="131"/>
      <c r="F57" s="573"/>
      <c r="G57" s="181" t="s">
        <v>243</v>
      </c>
      <c r="H57" s="91">
        <f>10^((10*LOG10(1000*$H45)+0-32.4-(10*$H51*LOG10(AVERAGE($A47:$A64)))+0-AVERAGE($E47:$E64))/(10*$H$9))</f>
        <v>0.28946179485953899</v>
      </c>
      <c r="I57" s="377"/>
      <c r="J57" s="556"/>
      <c r="K57" s="558" t="str">
        <f>"Max. Power ("&amp;$H46&amp;"W):"</f>
        <v>Max. Power (50W):</v>
      </c>
      <c r="L57" s="65">
        <f>IF((AVERAGE($D47:$D64)+$H53)&gt;360,ABS($H58*SIN($H56))*$H50*-1,IF(AND(AVERAGE(D47:D64)&lt;180,AVERAGE(D47:D64)+H53&gt;180),ABS($H58*SIN($H56))*$H50*-1,ABS($H58*SIN($H56))*$H50))</f>
        <v>2.3417951126364178</v>
      </c>
      <c r="M57" s="551">
        <f>SQRT(($L57^2)+($L58^2))</f>
        <v>2.8946179485953891</v>
      </c>
      <c r="N57" s="62">
        <f>L57*$H52</f>
        <v>2341.7951126364178</v>
      </c>
      <c r="O57" s="63">
        <f>AVERAGE($B47:$B64)+N57</f>
        <v>56341.795112636421</v>
      </c>
      <c r="P57" s="555" t="str">
        <f>$H48&amp;" "&amp;INT(O57)&amp;" "&amp;INT(O58)</f>
        <v>17R MR 56341 54298</v>
      </c>
      <c r="Q57" s="582"/>
      <c r="R57" s="594"/>
      <c r="S57" s="72" t="str">
        <f>LEFT($J51,3)&amp;" &amp; "&amp;LEFT($J13,3)</f>
        <v>0°  &amp; +6°</v>
      </c>
      <c r="T57" s="71">
        <f>INT(($O13-$N13)+($U57-($O14-$N14))*TAN($H14))</f>
        <v>54905</v>
      </c>
      <c r="U57" s="71">
        <f>INT(((($O13-$N13)-($O51-$N51))+($O52-$N52)*TAN($H55)-($O14-$N14)*TAN($H14))/(TAN($H55)-TAN($H14)))</f>
        <v>55475</v>
      </c>
      <c r="V57" s="541"/>
      <c r="W57" s="187"/>
    </row>
    <row r="58" spans="1:23" ht="15.6" customHeight="1" thickBot="1" x14ac:dyDescent="0.3">
      <c r="A58" s="121"/>
      <c r="B58" s="124"/>
      <c r="C58" s="124"/>
      <c r="D58" s="128"/>
      <c r="E58" s="131"/>
      <c r="F58" s="573"/>
      <c r="G58" s="182" t="s">
        <v>244</v>
      </c>
      <c r="H58" s="92">
        <f>10^((10*LOG10(1000*$H46)+0-32.4-(10*$H51*LOG10(AVERAGE($A47:$A64)))+0-AVERAGE($E47:$E64))/(10*H51))</f>
        <v>2.8946179485953891</v>
      </c>
      <c r="I58" s="377"/>
      <c r="J58" s="557"/>
      <c r="K58" s="559"/>
      <c r="L58" s="66">
        <f>IF(AND(AVERAGE(D47:D64)&lt;=90,AVERAGE(D47:D64)+H53&gt;90),SQRT(($H58^2)-(L57^2))*$H49*-1,IF(AND(AVERAGE(D47:D64)&lt;=270,AVERAGE(D47:D64)+H53&gt;270),SQRT(($H58^2)-(L57^2))*$H49*-1,SQRT(($H58^2)-(L57^2))*$H49))</f>
        <v>-1.701413741205462</v>
      </c>
      <c r="M58" s="554"/>
      <c r="N58" s="67">
        <f>L58*$H52</f>
        <v>-1701.413741205462</v>
      </c>
      <c r="O58" s="68">
        <f>AVERAGE($C47:$C64)+N58</f>
        <v>54298.586258794538</v>
      </c>
      <c r="P58" s="560"/>
      <c r="Q58" s="583"/>
      <c r="R58" s="594"/>
      <c r="S58" s="79" t="str">
        <f>LEFT($J55,3)&amp;" &amp; "&amp;LEFT($J13,3)</f>
        <v>+6° &amp; +6°</v>
      </c>
      <c r="T58" s="75">
        <f>INT(($O13-$N13)+($U58-($O14-$N14))*TAN($H14))</f>
        <v>54768</v>
      </c>
      <c r="U58" s="75">
        <f>INT(((($O13-$N13)-($O55-$N55))+($O56-$N56)*TAN($H56)-($O14-$N14)*TAN($H14))/(TAN($H56)-TAN($H14)))</f>
        <v>55441</v>
      </c>
      <c r="V58" s="542"/>
      <c r="W58" s="187"/>
    </row>
    <row r="59" spans="1:23" ht="16.5" thickBot="1" x14ac:dyDescent="0.3">
      <c r="A59" s="121"/>
      <c r="B59" s="124"/>
      <c r="C59" s="124"/>
      <c r="D59" s="128"/>
      <c r="E59" s="131"/>
      <c r="F59" s="573"/>
      <c r="G59" s="596" t="str">
        <f>"Notes regarding "&amp;LEFT(A44,5)&amp;":"</f>
        <v>Notes regarding EWT 3:</v>
      </c>
      <c r="H59" s="597"/>
      <c r="I59" s="597"/>
      <c r="J59" s="597"/>
      <c r="K59" s="597"/>
      <c r="L59" s="597"/>
      <c r="M59" s="597"/>
      <c r="N59" s="597"/>
      <c r="O59" s="597"/>
      <c r="P59" s="575" t="str">
        <f>LEFT($A44,5)&amp;" LOB Error:"</f>
        <v>EWT 3 LOB Error:</v>
      </c>
      <c r="Q59" s="525"/>
      <c r="R59" s="594"/>
      <c r="S59" s="308" t="str">
        <f>"TGT Distance from "&amp;LEFT($A44,5)&amp;" (km)"</f>
        <v>TGT Distance from EWT 3 (km)</v>
      </c>
      <c r="T59" s="536"/>
      <c r="U59" s="544">
        <f>SQRT((($T54-AVERAGE($B$47:$B$64))^2)+(($U54-AVERAGE($C$47:$C$64))^2))/1000</f>
        <v>0.77833797286268891</v>
      </c>
      <c r="V59" s="545"/>
      <c r="W59" s="86"/>
    </row>
    <row r="60" spans="1:23" ht="15" customHeight="1" thickBot="1" x14ac:dyDescent="0.3">
      <c r="A60" s="121"/>
      <c r="B60" s="124"/>
      <c r="C60" s="124"/>
      <c r="D60" s="128"/>
      <c r="E60" s="131"/>
      <c r="F60" s="573"/>
      <c r="G60" s="307"/>
      <c r="H60" s="308"/>
      <c r="I60" s="308"/>
      <c r="J60" s="308"/>
      <c r="K60" s="308"/>
      <c r="L60" s="308"/>
      <c r="M60" s="308"/>
      <c r="N60" s="308"/>
      <c r="O60" s="309"/>
      <c r="P60" s="60" t="s">
        <v>245</v>
      </c>
      <c r="Q60" s="179">
        <f>(SQRT(((AVERAGE(SQRT(($O49-$O47)^2+($O50-$O48)^2),SQRT(($O57-$O55)^2+($O58-$O56)^2)))^2)-((($Q62-$Q61)/2)^2))/$H$10)*1000</f>
        <v>2590.8848357437041</v>
      </c>
      <c r="R60" s="594"/>
      <c r="S60" s="543" t="str">
        <f>"TGT Distance from "&amp;LEFT($A3,5)&amp;" (km)"</f>
        <v>TGT Distance from EWT 1 (km)</v>
      </c>
      <c r="T60" s="535"/>
      <c r="U60" s="546">
        <f>SQRT((($T54-AVERAGE($B$5:$B$22))^2)+(($U54-AVERAGE($C$5:$C$22))^2))/1000</f>
        <v>1.7803960233610949</v>
      </c>
      <c r="V60" s="323"/>
      <c r="W60" s="187"/>
    </row>
    <row r="61" spans="1:23" ht="16.5" thickBot="1" x14ac:dyDescent="0.3">
      <c r="A61" s="121"/>
      <c r="B61" s="125"/>
      <c r="C61" s="125"/>
      <c r="D61" s="128"/>
      <c r="E61" s="131"/>
      <c r="F61" s="573"/>
      <c r="G61" s="532"/>
      <c r="H61" s="607"/>
      <c r="I61" s="607"/>
      <c r="J61" s="607"/>
      <c r="K61" s="607"/>
      <c r="L61" s="607"/>
      <c r="M61" s="607"/>
      <c r="N61" s="607"/>
      <c r="O61" s="608"/>
      <c r="P61" s="52" t="s">
        <v>247</v>
      </c>
      <c r="Q61" s="176">
        <f>(AVERAGE(SQRT(($O47-$O55)^2+($O48-$O56)^2))/$H52)*1000</f>
        <v>60.513993182731213</v>
      </c>
      <c r="R61" s="594"/>
      <c r="S61" s="524" t="str">
        <f>LEFT($A44,5)&amp;" &amp; "&amp;LEFT($A3,5)&amp;" LOB Intersection (CUT) Error:"</f>
        <v>EWT 3 &amp; EWT 1 LOB Intersection (CUT) Error:</v>
      </c>
      <c r="T61" s="524"/>
      <c r="U61" s="524"/>
      <c r="V61" s="525"/>
      <c r="W61" s="187"/>
    </row>
    <row r="62" spans="1:23" ht="15" customHeight="1" x14ac:dyDescent="0.25">
      <c r="A62" s="121"/>
      <c r="B62" s="124"/>
      <c r="C62" s="124"/>
      <c r="D62" s="128"/>
      <c r="E62" s="131"/>
      <c r="F62" s="573"/>
      <c r="G62" s="532"/>
      <c r="H62" s="607"/>
      <c r="I62" s="607"/>
      <c r="J62" s="607"/>
      <c r="K62" s="607"/>
      <c r="L62" s="607"/>
      <c r="M62" s="607"/>
      <c r="N62" s="607"/>
      <c r="O62" s="608"/>
      <c r="P62" s="52" t="s">
        <v>248</v>
      </c>
      <c r="Q62" s="176">
        <f>((AVERAGE(SQRT(($O49-$O57)^2+($O50-$O58)^2))/$H52)*1000)</f>
        <v>605.139931827287</v>
      </c>
      <c r="R62" s="594"/>
      <c r="S62" s="183" t="s">
        <v>252</v>
      </c>
      <c r="T62" s="526">
        <f>(SQRT((($T58-$T52)^2)+($U58-$U52)^2)/$H$10)*1000</f>
        <v>429.66033095923575</v>
      </c>
      <c r="U62" s="527"/>
      <c r="V62" s="82">
        <f>(SQRT((($T56-$T50)^2)+($U56-$U50)^2)/$H$10)*1000</f>
        <v>580.576437689302</v>
      </c>
      <c r="W62" s="187"/>
    </row>
    <row r="63" spans="1:23" ht="30" customHeight="1" x14ac:dyDescent="0.25">
      <c r="A63" s="121"/>
      <c r="B63" s="124"/>
      <c r="C63" s="124"/>
      <c r="D63" s="128"/>
      <c r="E63" s="131"/>
      <c r="F63" s="573"/>
      <c r="G63" s="532"/>
      <c r="H63" s="607"/>
      <c r="I63" s="607"/>
      <c r="J63" s="607"/>
      <c r="K63" s="607"/>
      <c r="L63" s="607"/>
      <c r="M63" s="607"/>
      <c r="N63" s="607"/>
      <c r="O63" s="608"/>
      <c r="P63" s="52" t="s">
        <v>249</v>
      </c>
      <c r="Q63" s="90">
        <f>((Q61*Q60)+(((Q62-Q61)/2)*Q60))/1000000*247.105</f>
        <v>213.08267674463252</v>
      </c>
      <c r="R63" s="594"/>
      <c r="S63" s="181" t="s">
        <v>253</v>
      </c>
      <c r="T63" s="514">
        <f>(SQRT((($T50-$T52)^2)+($U50-$U52)^2)/$H$10)*1000</f>
        <v>141.32586458253138</v>
      </c>
      <c r="U63" s="515"/>
      <c r="V63" s="80">
        <f>(SQRT((($T56-$T58)^2)+($U56-$U58)^2)/$H$10)*1000</f>
        <v>318.44936803203109</v>
      </c>
      <c r="W63" s="187"/>
    </row>
    <row r="64" spans="1:23" ht="17.45" customHeight="1" thickBot="1" x14ac:dyDescent="0.3">
      <c r="A64" s="122"/>
      <c r="B64" s="126"/>
      <c r="C64" s="126"/>
      <c r="D64" s="129"/>
      <c r="E64" s="132"/>
      <c r="F64" s="574"/>
      <c r="G64" s="534"/>
      <c r="H64" s="543"/>
      <c r="I64" s="543"/>
      <c r="J64" s="543"/>
      <c r="K64" s="543"/>
      <c r="L64" s="543"/>
      <c r="M64" s="543"/>
      <c r="N64" s="543"/>
      <c r="O64" s="609"/>
      <c r="P64" s="55" t="s">
        <v>250</v>
      </c>
      <c r="Q64" s="177">
        <f>(PI()*(AVERAGE(Q61:Q62)/1000/2)^2)*247.105</f>
        <v>21.498512783776473</v>
      </c>
      <c r="R64" s="595"/>
      <c r="S64" s="182" t="s">
        <v>254</v>
      </c>
      <c r="T64" s="516">
        <f>(SQRT((((((T63+T62+(SQRT(((T50-T58)^2)+((U50-U58)^2))))/2)*(((T63+T62+(SQRT(((T50-T58)^2)+((U50-U58)^2))))/2)-T63)*(((T63+T62+(SQRT(((T50-T58)^2)+((U50-U58)^2))))/2)-T62)*(((T63+T62+(SQRT(((T50-T58)^2)+((U50-U58)^2))))/2)-(SQRT(((T50-T58)^2)+((U50-U58)^2))))))))+SQRT(((((SQRT(((T50-T58)^2)+((U50-U58)^2)))+V63+V62)/2)*((((SQRT(((T50-T58)^2)+((U50-U58)^2)))+V63+V62)/2)-V62)*((((SQRT(((T50-T58)^2)+((U50-U58)^2)))+V63+V62)/2)-V63)*((((SQRT(((T50-T58)^2)+((U50-U58)^2)))+V63+V62)/2)-(SQRT(((T50-T58)^2)+((U50-U58)^2)))))))/10^6*247.105</f>
        <v>20.710240707499995</v>
      </c>
      <c r="U64" s="517"/>
      <c r="V64" s="83">
        <f>1-($T64/($Q63+$Q21-T64))</f>
        <v>0.98510723604238815</v>
      </c>
      <c r="W64" s="187"/>
    </row>
    <row r="65" spans="1:22" ht="16.5" thickBot="1" x14ac:dyDescent="0.3">
      <c r="A65" s="244" t="s">
        <v>19</v>
      </c>
      <c r="B65" s="244"/>
      <c r="C65" s="244"/>
      <c r="D65" s="244"/>
      <c r="E65" s="244"/>
      <c r="F65" s="244"/>
      <c r="G65" s="244"/>
      <c r="H65" s="244"/>
      <c r="I65" s="244"/>
      <c r="J65" s="244"/>
      <c r="K65" s="244"/>
      <c r="L65" s="244"/>
      <c r="M65" s="244"/>
      <c r="N65" s="244"/>
      <c r="O65" s="244"/>
      <c r="P65" s="244"/>
      <c r="Q65" s="244"/>
      <c r="R65" s="244"/>
      <c r="S65" s="244"/>
      <c r="T65" s="244"/>
      <c r="U65" s="244"/>
      <c r="V65" s="244"/>
    </row>
    <row r="66" spans="1:22" ht="16.5" thickBot="1" x14ac:dyDescent="0.3">
      <c r="A66" s="562" t="s">
        <v>58</v>
      </c>
      <c r="B66" s="563"/>
      <c r="C66" s="563"/>
      <c r="D66" s="571"/>
      <c r="E66" s="187"/>
      <c r="F66" s="187"/>
      <c r="G66" s="187"/>
      <c r="H66" s="187"/>
      <c r="I66" s="187"/>
      <c r="J66" s="187"/>
      <c r="K66" s="187"/>
      <c r="N66" s="187"/>
      <c r="O66" s="187"/>
      <c r="P66" s="187"/>
      <c r="Q66" s="187"/>
      <c r="R66" s="187"/>
      <c r="S66" s="187"/>
      <c r="T66" s="187"/>
      <c r="U66" s="187"/>
      <c r="V66" s="187"/>
    </row>
    <row r="67" spans="1:22" x14ac:dyDescent="0.25">
      <c r="A67" s="390" t="s">
        <v>256</v>
      </c>
      <c r="B67" s="391"/>
      <c r="C67" s="391"/>
      <c r="D67" s="392"/>
      <c r="E67" s="187"/>
      <c r="F67" s="187"/>
      <c r="G67" s="187"/>
      <c r="H67" s="187"/>
      <c r="I67" s="187"/>
      <c r="J67" s="187"/>
      <c r="K67" s="187"/>
      <c r="N67" s="187"/>
      <c r="O67" s="187"/>
      <c r="P67" s="187"/>
      <c r="Q67" s="513" t="s">
        <v>257</v>
      </c>
      <c r="R67" s="513"/>
      <c r="S67" s="513"/>
      <c r="T67" s="513"/>
      <c r="U67" s="513"/>
      <c r="V67" s="513"/>
    </row>
    <row r="68" spans="1:22" ht="15" customHeight="1" x14ac:dyDescent="0.25">
      <c r="A68" s="393"/>
      <c r="B68" s="394"/>
      <c r="C68" s="394"/>
      <c r="D68" s="395"/>
      <c r="E68" s="187"/>
      <c r="F68" s="187"/>
      <c r="G68" s="187"/>
      <c r="H68" s="187"/>
      <c r="I68" s="175"/>
      <c r="J68" s="175"/>
      <c r="K68" s="187"/>
      <c r="N68" s="187"/>
      <c r="O68" s="187"/>
      <c r="P68" s="187"/>
      <c r="Q68" s="513"/>
      <c r="R68" s="513"/>
      <c r="S68" s="513"/>
      <c r="T68" s="513"/>
      <c r="U68" s="513"/>
      <c r="V68" s="513"/>
    </row>
    <row r="69" spans="1:22" x14ac:dyDescent="0.25">
      <c r="A69" s="393"/>
      <c r="B69" s="394"/>
      <c r="C69" s="394"/>
      <c r="D69" s="395"/>
      <c r="E69" s="187"/>
      <c r="F69" s="187"/>
      <c r="G69" s="187"/>
      <c r="H69" s="187"/>
      <c r="I69" s="175"/>
      <c r="J69" s="175"/>
      <c r="K69" s="187"/>
      <c r="N69" s="187"/>
      <c r="O69" s="187"/>
      <c r="P69" s="187"/>
      <c r="Q69" s="513"/>
      <c r="R69" s="513"/>
      <c r="S69" s="513"/>
      <c r="T69" s="513"/>
      <c r="U69" s="513"/>
      <c r="V69" s="513"/>
    </row>
    <row r="70" spans="1:22" x14ac:dyDescent="0.25">
      <c r="A70" s="393"/>
      <c r="B70" s="394"/>
      <c r="C70" s="394"/>
      <c r="D70" s="395"/>
      <c r="E70" s="187"/>
      <c r="F70" s="187"/>
      <c r="G70" s="187"/>
      <c r="H70" s="187"/>
      <c r="I70" s="175"/>
      <c r="J70" s="175"/>
      <c r="K70" s="187"/>
      <c r="N70" s="187"/>
      <c r="O70" s="187"/>
      <c r="P70" s="187"/>
      <c r="Q70" s="513"/>
      <c r="R70" s="513"/>
      <c r="S70" s="513"/>
      <c r="T70" s="513"/>
      <c r="U70" s="513"/>
      <c r="V70" s="513"/>
    </row>
    <row r="71" spans="1:22" x14ac:dyDescent="0.25">
      <c r="A71" s="393"/>
      <c r="B71" s="394"/>
      <c r="C71" s="394"/>
      <c r="D71" s="395"/>
      <c r="E71" s="187"/>
      <c r="F71" s="187"/>
      <c r="G71" s="187"/>
      <c r="H71" s="187"/>
      <c r="I71" s="175"/>
      <c r="J71" s="175"/>
      <c r="K71" s="187"/>
      <c r="N71" s="187"/>
      <c r="O71" s="187"/>
      <c r="P71" s="187"/>
      <c r="Q71" s="513"/>
      <c r="R71" s="513"/>
      <c r="S71" s="513"/>
      <c r="T71" s="513"/>
      <c r="U71" s="513"/>
      <c r="V71" s="513"/>
    </row>
    <row r="72" spans="1:22" x14ac:dyDescent="0.25">
      <c r="A72" s="393"/>
      <c r="B72" s="394"/>
      <c r="C72" s="394"/>
      <c r="D72" s="395"/>
      <c r="E72" s="187"/>
      <c r="F72" s="187"/>
      <c r="G72" s="187"/>
      <c r="H72" s="187"/>
      <c r="I72" s="175"/>
      <c r="J72" s="175"/>
      <c r="K72" s="187"/>
      <c r="N72" s="187"/>
      <c r="O72" s="187"/>
      <c r="P72" s="187"/>
      <c r="Q72" s="513"/>
      <c r="R72" s="513"/>
      <c r="S72" s="513"/>
      <c r="T72" s="513"/>
      <c r="U72" s="513"/>
      <c r="V72" s="513"/>
    </row>
    <row r="73" spans="1:22" x14ac:dyDescent="0.25">
      <c r="A73" s="393"/>
      <c r="B73" s="394"/>
      <c r="C73" s="394"/>
      <c r="D73" s="395"/>
      <c r="E73" s="187"/>
      <c r="F73" s="187"/>
      <c r="G73" s="187"/>
      <c r="H73" s="187"/>
      <c r="I73" s="175"/>
      <c r="J73" s="175"/>
      <c r="K73" s="187"/>
      <c r="N73" s="187"/>
      <c r="O73" s="187"/>
      <c r="P73" s="187"/>
      <c r="Q73" s="513"/>
      <c r="R73" s="513"/>
      <c r="S73" s="513"/>
      <c r="T73" s="513"/>
      <c r="U73" s="513"/>
      <c r="V73" s="513"/>
    </row>
    <row r="74" spans="1:22" x14ac:dyDescent="0.25">
      <c r="A74" s="393"/>
      <c r="B74" s="394"/>
      <c r="C74" s="394"/>
      <c r="D74" s="395"/>
      <c r="E74" s="187"/>
      <c r="F74" s="187"/>
      <c r="G74" s="187"/>
      <c r="H74" s="187"/>
      <c r="I74" s="175"/>
      <c r="J74" s="175"/>
      <c r="K74" s="187"/>
      <c r="N74" s="187"/>
      <c r="O74" s="187"/>
      <c r="P74" s="187"/>
      <c r="Q74" s="513"/>
      <c r="R74" s="513"/>
      <c r="S74" s="513"/>
      <c r="T74" s="513"/>
      <c r="U74" s="513"/>
      <c r="V74" s="513"/>
    </row>
    <row r="75" spans="1:22" x14ac:dyDescent="0.25">
      <c r="A75" s="393"/>
      <c r="B75" s="394"/>
      <c r="C75" s="394"/>
      <c r="D75" s="395"/>
      <c r="E75" s="187"/>
      <c r="F75" s="187"/>
      <c r="G75" s="187"/>
      <c r="H75" s="187"/>
      <c r="I75" s="175"/>
      <c r="J75" s="175"/>
      <c r="K75" s="187"/>
      <c r="N75" s="187"/>
      <c r="O75" s="187"/>
      <c r="P75" s="187"/>
      <c r="Q75" s="513" t="s">
        <v>258</v>
      </c>
      <c r="R75" s="513"/>
      <c r="S75" s="513"/>
      <c r="T75" s="513"/>
      <c r="U75" s="513"/>
      <c r="V75" s="513"/>
    </row>
    <row r="76" spans="1:22" x14ac:dyDescent="0.25">
      <c r="A76" s="393"/>
      <c r="B76" s="394"/>
      <c r="C76" s="394"/>
      <c r="D76" s="395"/>
      <c r="E76" s="187"/>
      <c r="F76" s="187"/>
      <c r="G76" s="187"/>
      <c r="H76" s="187"/>
      <c r="I76" s="175"/>
      <c r="J76" s="175"/>
      <c r="K76" s="187"/>
      <c r="N76" s="187"/>
      <c r="O76" s="187"/>
      <c r="P76" s="187"/>
      <c r="Q76" s="513"/>
      <c r="R76" s="513"/>
      <c r="S76" s="513"/>
      <c r="T76" s="513"/>
      <c r="U76" s="513"/>
      <c r="V76" s="513"/>
    </row>
    <row r="77" spans="1:22" x14ac:dyDescent="0.25">
      <c r="A77" s="393"/>
      <c r="B77" s="394"/>
      <c r="C77" s="394"/>
      <c r="D77" s="395"/>
      <c r="E77" s="187"/>
      <c r="F77" s="187"/>
      <c r="G77" s="187"/>
      <c r="H77" s="187"/>
      <c r="I77" s="175"/>
      <c r="J77" s="175"/>
      <c r="K77" s="187"/>
      <c r="N77" s="187"/>
      <c r="O77" s="187"/>
      <c r="P77" s="187"/>
      <c r="Q77" s="513"/>
      <c r="R77" s="513"/>
      <c r="S77" s="513"/>
      <c r="T77" s="513"/>
      <c r="U77" s="513"/>
      <c r="V77" s="513"/>
    </row>
    <row r="78" spans="1:22" x14ac:dyDescent="0.25">
      <c r="A78" s="393"/>
      <c r="B78" s="394"/>
      <c r="C78" s="394"/>
      <c r="D78" s="395"/>
      <c r="E78" s="187"/>
      <c r="F78" s="187"/>
      <c r="G78" s="187"/>
      <c r="H78" s="187"/>
      <c r="I78" s="175"/>
      <c r="J78" s="175"/>
      <c r="K78" s="187"/>
      <c r="N78" s="187"/>
      <c r="O78" s="187"/>
      <c r="P78" s="187"/>
      <c r="Q78" s="513"/>
      <c r="R78" s="513"/>
      <c r="S78" s="513"/>
      <c r="T78" s="513"/>
      <c r="U78" s="513"/>
      <c r="V78" s="513"/>
    </row>
    <row r="79" spans="1:22" x14ac:dyDescent="0.25">
      <c r="A79" s="393"/>
      <c r="B79" s="394"/>
      <c r="C79" s="394"/>
      <c r="D79" s="395"/>
      <c r="E79" s="187"/>
      <c r="F79" s="187"/>
      <c r="G79" s="187"/>
      <c r="H79" s="187"/>
      <c r="I79" s="175"/>
      <c r="J79" s="175"/>
      <c r="K79" s="187"/>
      <c r="N79" s="187"/>
      <c r="O79" s="187"/>
      <c r="P79" s="187"/>
      <c r="Q79" s="187"/>
      <c r="R79" s="187"/>
      <c r="S79" s="187"/>
      <c r="T79" s="187"/>
      <c r="U79" s="187"/>
      <c r="V79" s="187"/>
    </row>
    <row r="80" spans="1:22" x14ac:dyDescent="0.25">
      <c r="A80" s="393"/>
      <c r="B80" s="394"/>
      <c r="C80" s="394"/>
      <c r="D80" s="395"/>
      <c r="E80" s="187"/>
      <c r="F80" s="187"/>
      <c r="G80" s="187"/>
      <c r="H80" s="187"/>
      <c r="I80" s="175"/>
      <c r="J80" s="175"/>
      <c r="K80" s="187"/>
      <c r="N80" s="187"/>
      <c r="O80" s="187"/>
      <c r="P80" s="187"/>
      <c r="Q80" s="187"/>
      <c r="R80" s="187"/>
      <c r="S80" s="187"/>
      <c r="T80" s="187"/>
      <c r="U80" s="187"/>
      <c r="V80" s="187"/>
    </row>
    <row r="81" spans="1:10" x14ac:dyDescent="0.25">
      <c r="A81" s="393"/>
      <c r="B81" s="394"/>
      <c r="C81" s="394"/>
      <c r="D81" s="395"/>
      <c r="E81" s="187"/>
      <c r="F81" s="187"/>
      <c r="G81" s="187"/>
      <c r="H81" s="187"/>
      <c r="I81" s="175"/>
      <c r="J81" s="175"/>
    </row>
    <row r="82" spans="1:10" x14ac:dyDescent="0.25">
      <c r="A82" s="393"/>
      <c r="B82" s="394"/>
      <c r="C82" s="394"/>
      <c r="D82" s="395"/>
      <c r="E82" s="187"/>
      <c r="F82" s="187"/>
      <c r="G82" s="187"/>
      <c r="H82" s="187"/>
      <c r="I82" s="175"/>
      <c r="J82" s="175"/>
    </row>
    <row r="83" spans="1:10" x14ac:dyDescent="0.25">
      <c r="A83" s="393"/>
      <c r="B83" s="394"/>
      <c r="C83" s="394"/>
      <c r="D83" s="395"/>
      <c r="E83" s="187"/>
      <c r="F83" s="187"/>
      <c r="G83" s="187"/>
      <c r="H83" s="187"/>
      <c r="I83" s="175"/>
      <c r="J83" s="175"/>
    </row>
    <row r="84" spans="1:10" ht="15.75" thickBot="1" x14ac:dyDescent="0.3">
      <c r="A84" s="589"/>
      <c r="B84" s="590"/>
      <c r="C84" s="590"/>
      <c r="D84" s="591"/>
      <c r="E84" s="187"/>
      <c r="F84" s="187"/>
      <c r="G84" s="187"/>
      <c r="H84" s="187"/>
      <c r="I84" s="175"/>
      <c r="J84" s="175"/>
    </row>
    <row r="85" spans="1:10" x14ac:dyDescent="0.25">
      <c r="A85" s="187"/>
      <c r="B85" s="187"/>
      <c r="C85" s="187"/>
      <c r="D85" s="187"/>
      <c r="E85" s="187"/>
      <c r="F85" s="187"/>
      <c r="G85" s="187"/>
      <c r="H85" s="187"/>
      <c r="I85" s="175"/>
      <c r="J85" s="175"/>
    </row>
  </sheetData>
  <mergeCells count="152">
    <mergeCell ref="A67:D84"/>
    <mergeCell ref="A66:D66"/>
    <mergeCell ref="Q67:V74"/>
    <mergeCell ref="S11:V12"/>
    <mergeCell ref="R3:R64"/>
    <mergeCell ref="P59:Q59"/>
    <mergeCell ref="G17:O17"/>
    <mergeCell ref="G18:O22"/>
    <mergeCell ref="G38:O38"/>
    <mergeCell ref="G39:O43"/>
    <mergeCell ref="G59:O59"/>
    <mergeCell ref="G60:O64"/>
    <mergeCell ref="I23:I37"/>
    <mergeCell ref="I44:I58"/>
    <mergeCell ref="M36:M37"/>
    <mergeCell ref="M47:M48"/>
    <mergeCell ref="M49:M50"/>
    <mergeCell ref="M51:M52"/>
    <mergeCell ref="M53:M54"/>
    <mergeCell ref="J55:J58"/>
    <mergeCell ref="K55:K56"/>
    <mergeCell ref="P55:P56"/>
    <mergeCell ref="Q55:Q58"/>
    <mergeCell ref="K57:K58"/>
    <mergeCell ref="P57:P58"/>
    <mergeCell ref="M55:M56"/>
    <mergeCell ref="M57:M58"/>
    <mergeCell ref="J51:J54"/>
    <mergeCell ref="Q34:Q37"/>
    <mergeCell ref="K51:K52"/>
    <mergeCell ref="P51:P52"/>
    <mergeCell ref="Q51:Q54"/>
    <mergeCell ref="K53:K54"/>
    <mergeCell ref="P53:P54"/>
    <mergeCell ref="J46:K46"/>
    <mergeCell ref="P46:Q46"/>
    <mergeCell ref="G47:H47"/>
    <mergeCell ref="J47:J50"/>
    <mergeCell ref="K47:K48"/>
    <mergeCell ref="P47:P48"/>
    <mergeCell ref="Q47:Q50"/>
    <mergeCell ref="K49:K50"/>
    <mergeCell ref="P49:P50"/>
    <mergeCell ref="L46:M46"/>
    <mergeCell ref="M28:M29"/>
    <mergeCell ref="M30:M31"/>
    <mergeCell ref="M32:M33"/>
    <mergeCell ref="A23:E24"/>
    <mergeCell ref="A44:E45"/>
    <mergeCell ref="G44:H44"/>
    <mergeCell ref="P38:Q38"/>
    <mergeCell ref="G23:H23"/>
    <mergeCell ref="J25:K25"/>
    <mergeCell ref="P25:Q25"/>
    <mergeCell ref="G26:H26"/>
    <mergeCell ref="J26:J29"/>
    <mergeCell ref="K26:K27"/>
    <mergeCell ref="P26:P27"/>
    <mergeCell ref="Q26:Q29"/>
    <mergeCell ref="K28:K29"/>
    <mergeCell ref="P28:P29"/>
    <mergeCell ref="J30:J33"/>
    <mergeCell ref="Q30:Q33"/>
    <mergeCell ref="K32:K33"/>
    <mergeCell ref="P32:P33"/>
    <mergeCell ref="J34:J37"/>
    <mergeCell ref="K34:K35"/>
    <mergeCell ref="P34:P35"/>
    <mergeCell ref="J44:Q45"/>
    <mergeCell ref="L25:M25"/>
    <mergeCell ref="J23:Q24"/>
    <mergeCell ref="A2:E2"/>
    <mergeCell ref="A3:E3"/>
    <mergeCell ref="J3:Q3"/>
    <mergeCell ref="P5:P6"/>
    <mergeCell ref="P7:P8"/>
    <mergeCell ref="P9:P10"/>
    <mergeCell ref="P11:P12"/>
    <mergeCell ref="J5:J8"/>
    <mergeCell ref="J9:J12"/>
    <mergeCell ref="J2:V2"/>
    <mergeCell ref="F2:F64"/>
    <mergeCell ref="P17:Q17"/>
    <mergeCell ref="P4:Q4"/>
    <mergeCell ref="K5:K6"/>
    <mergeCell ref="K13:K14"/>
    <mergeCell ref="K7:K8"/>
    <mergeCell ref="K15:K16"/>
    <mergeCell ref="K9:K10"/>
    <mergeCell ref="K11:K12"/>
    <mergeCell ref="P15:P16"/>
    <mergeCell ref="J4:K4"/>
    <mergeCell ref="Q5:Q8"/>
    <mergeCell ref="Q13:Q16"/>
    <mergeCell ref="Q9:Q12"/>
    <mergeCell ref="T62:U62"/>
    <mergeCell ref="S59:T59"/>
    <mergeCell ref="S60:T60"/>
    <mergeCell ref="U59:V59"/>
    <mergeCell ref="U60:V60"/>
    <mergeCell ref="S47:V48"/>
    <mergeCell ref="S29:V30"/>
    <mergeCell ref="G5:H5"/>
    <mergeCell ref="G2:H2"/>
    <mergeCell ref="L4:M4"/>
    <mergeCell ref="M5:M6"/>
    <mergeCell ref="M7:M8"/>
    <mergeCell ref="M9:M10"/>
    <mergeCell ref="M11:M12"/>
    <mergeCell ref="M13:M14"/>
    <mergeCell ref="M15:M16"/>
    <mergeCell ref="P13:P14"/>
    <mergeCell ref="J13:J16"/>
    <mergeCell ref="K36:K37"/>
    <mergeCell ref="P36:P37"/>
    <mergeCell ref="M34:M35"/>
    <mergeCell ref="K30:K31"/>
    <mergeCell ref="P30:P31"/>
    <mergeCell ref="M26:M27"/>
    <mergeCell ref="S23:T23"/>
    <mergeCell ref="S24:T24"/>
    <mergeCell ref="U23:V23"/>
    <mergeCell ref="U24:V24"/>
    <mergeCell ref="S43:V43"/>
    <mergeCell ref="S41:T41"/>
    <mergeCell ref="S42:T42"/>
    <mergeCell ref="U41:V41"/>
    <mergeCell ref="U42:V42"/>
    <mergeCell ref="Q75:V78"/>
    <mergeCell ref="A1:V1"/>
    <mergeCell ref="A65:V65"/>
    <mergeCell ref="T63:U63"/>
    <mergeCell ref="T64:U64"/>
    <mergeCell ref="S3:V4"/>
    <mergeCell ref="S61:V61"/>
    <mergeCell ref="T44:U44"/>
    <mergeCell ref="T45:U45"/>
    <mergeCell ref="T46:U46"/>
    <mergeCell ref="S9:S10"/>
    <mergeCell ref="T9:T10"/>
    <mergeCell ref="S7:T7"/>
    <mergeCell ref="S8:T8"/>
    <mergeCell ref="S6:T6"/>
    <mergeCell ref="V6:V8"/>
    <mergeCell ref="S5:U5"/>
    <mergeCell ref="V14:V22"/>
    <mergeCell ref="V32:V40"/>
    <mergeCell ref="V50:V58"/>
    <mergeCell ref="T26:U26"/>
    <mergeCell ref="T27:U27"/>
    <mergeCell ref="T28:U28"/>
    <mergeCell ref="S25:V25"/>
  </mergeCells>
  <phoneticPr fontId="10" type="noConversion"/>
  <conditionalFormatting sqref="T9:T10">
    <cfRule type="cellIs" dxfId="6" priority="6" operator="equal">
      <formula>"LOB"</formula>
    </cfRule>
    <cfRule type="cellIs" dxfId="5" priority="7" operator="equal">
      <formula>"CUT"</formula>
    </cfRule>
    <cfRule type="cellIs" dxfId="4" priority="8" operator="equal">
      <formula>"FIX"</formula>
    </cfRule>
  </conditionalFormatting>
  <conditionalFormatting sqref="U23:V23 U60:V60">
    <cfRule type="cellIs" dxfId="3" priority="4" operator="notBetween">
      <formula>$H$15</formula>
      <formula>$H$16</formula>
    </cfRule>
  </conditionalFormatting>
  <conditionalFormatting sqref="U24:V24 U41:V41">
    <cfRule type="cellIs" dxfId="2" priority="3" operator="notBetween">
      <formula>$H$36</formula>
      <formula>$H$37</formula>
    </cfRule>
  </conditionalFormatting>
  <conditionalFormatting sqref="U42:V42 U59:V59">
    <cfRule type="cellIs" dxfId="1" priority="2" operator="notBetween">
      <formula>$H$57</formula>
      <formula>$H$58</formula>
    </cfRule>
  </conditionalFormatting>
  <conditionalFormatting sqref="V10">
    <cfRule type="cellIs" dxfId="0" priority="1" operator="lessThanOrEqual">
      <formula>100</formula>
    </cfRule>
  </conditionalFormatting>
  <dataValidations xWindow="839" yWindow="434" count="9">
    <dataValidation type="textLength" operator="equal" allowBlank="1" showInputMessage="1" showErrorMessage="1" errorTitle="Input Error" error="The MGRS Coordinate (10-digit) must contain a 5-digit Easting and a 5-digit Northing Coordinate." promptTitle="MGRS Easting" prompt="Must input a 5-digit Easting Coordinate" sqref="B47:B64 B26:B43 B5:B22" xr:uid="{3F6713F4-B973-4D2A-9624-39C0B5F7BA5C}">
      <formula1>5</formula1>
    </dataValidation>
    <dataValidation type="textLength" operator="equal" allowBlank="1" showInputMessage="1" showErrorMessage="1" errorTitle="Input Error" error="The MGRS Coordinate (10-digit) must contain a 5-digit Easting and a 5-digit Northing Coordinate." promptTitle="MGRS Northing" prompt="Must input a 5-digit Northing Coordinate" sqref="C47:C64 C26:C43 C5:C22" xr:uid="{CCFA17CD-BAD5-4C69-B3D3-1EE275DEBF02}">
      <formula1>5</formula1>
    </dataValidation>
    <dataValidation type="whole" allowBlank="1" showInputMessage="1" showErrorMessage="1" errorTitle="Input Error" error="The input value is not between 0 and 359. " promptTitle="Grid Azimuth" prompt="Input a Grid Azimuth in degrees between 0° and 359°. " sqref="D47:D64 D5:D22 D26:D43" xr:uid="{00C5244E-20CC-4FF2-97F6-936C7B118C82}">
      <formula1>0</formula1>
      <formula2>359</formula2>
    </dataValidation>
    <dataValidation type="decimal" allowBlank="1" showInputMessage="1" showErrorMessage="1" errorTitle="Input Error" error="The input received power is not realilistic. Input a value between -200 and 200 dBm." promptTitle="Received Power" prompt="Input the power of the received signal in dBm. " sqref="E47:E64 E5:E22 E26:E43" xr:uid="{FE7F523E-507B-4782-9D8C-1E0347C8F554}">
      <formula1>-200</formula1>
      <formula2>200</formula2>
    </dataValidation>
    <dataValidation type="decimal" operator="greaterThanOrEqual" allowBlank="1" showInputMessage="1" showErrorMessage="1" errorTitle="Input Error" error="The target frequency cannot be negative. " promptTitle="Target Frequency (MHz)" prompt="Input the target frequency in MHz." sqref="A47:A64 A5:A22 A26:A43" xr:uid="{386019CA-0251-4D5F-8310-5F418CFDFB2E}">
      <formula1>0</formula1>
    </dataValidation>
    <dataValidation type="decimal" operator="greaterThan" allowBlank="1" showInputMessage="1" showErrorMessage="1" errorTitle="Input Erro" error="You must input a decimal greater than zero" promptTitle="Min ERP (W)" prompt="Input the minimum expected power output (ERP) of the target emitter" sqref="H3 H24 H45" xr:uid="{0BEA7A34-AC9F-4156-8ECD-128D56A86151}">
      <formula1>0</formula1>
    </dataValidation>
    <dataValidation type="decimal" operator="greaterThanOrEqual" allowBlank="1" showInputMessage="1" showErrorMessage="1" errorTitle="Input Error" error="You must input a decimal greater than the minimum ERP." promptTitle="Max ERP (W)" prompt="Input the maximum expected power output (ERP) of the target emitter" sqref="H46 H4 H25" xr:uid="{1753EAC3-1741-4EF6-9BE6-CCB6804B3C37}">
      <formula1>H3</formula1>
    </dataValidation>
    <dataValidation allowBlank="1" showInputMessage="1" showErrorMessage="1" promptTitle="MGRS Designator" prompt="Input the grid zone designator (ex. 17R) and 100km Grid Square ID (ex. MR) to get the MGRS designator (17R MR)" sqref="H6 H27 H48" xr:uid="{749B5C31-0E76-4C99-A499-6F92875E0BFA}"/>
    <dataValidation type="decimal" operator="greaterThanOrEqual" allowBlank="1" showInputMessage="1" showErrorMessage="1" promptTitle="DF Error" prompt="Input the DF Error in degrees (°) RMS of the DF system" sqref="H53 H11 H32" xr:uid="{6F5112FF-3CDA-4ED7-98F4-2082016D094C}">
      <formula1>0</formula1>
    </dataValidation>
  </dataValidation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C8A7D-A269-4E49-BD65-953830AF47BC}">
  <sheetPr codeName="Sheet10"/>
  <dimension ref="A1:G13"/>
  <sheetViews>
    <sheetView workbookViewId="0">
      <selection activeCell="D19" sqref="D19"/>
    </sheetView>
  </sheetViews>
  <sheetFormatPr defaultRowHeight="15" x14ac:dyDescent="0.25"/>
  <sheetData>
    <row r="1" spans="1:7" x14ac:dyDescent="0.25">
      <c r="A1" s="611" t="s">
        <v>259</v>
      </c>
      <c r="B1" s="611"/>
      <c r="C1" s="611"/>
      <c r="D1" s="611"/>
      <c r="E1" s="611"/>
      <c r="F1" s="611"/>
      <c r="G1" s="611"/>
    </row>
    <row r="2" spans="1:7" x14ac:dyDescent="0.25">
      <c r="A2" s="611"/>
      <c r="B2" s="611"/>
      <c r="C2" s="611"/>
      <c r="D2" s="611"/>
      <c r="E2" s="611"/>
      <c r="F2" s="611"/>
      <c r="G2" s="611"/>
    </row>
    <row r="3" spans="1:7" x14ac:dyDescent="0.25">
      <c r="A3" s="611"/>
      <c r="B3" s="611"/>
      <c r="C3" s="611"/>
      <c r="D3" s="611"/>
      <c r="E3" s="611"/>
      <c r="F3" s="611"/>
      <c r="G3" s="611"/>
    </row>
    <row r="4" spans="1:7" x14ac:dyDescent="0.25">
      <c r="A4" s="611"/>
      <c r="B4" s="611"/>
      <c r="C4" s="611"/>
      <c r="D4" s="611"/>
      <c r="E4" s="611"/>
      <c r="F4" s="611"/>
      <c r="G4" s="611"/>
    </row>
    <row r="5" spans="1:7" x14ac:dyDescent="0.25">
      <c r="A5" s="611"/>
      <c r="B5" s="611"/>
      <c r="C5" s="611"/>
      <c r="D5" s="611"/>
      <c r="E5" s="611"/>
      <c r="F5" s="611"/>
      <c r="G5" s="611"/>
    </row>
    <row r="6" spans="1:7" x14ac:dyDescent="0.25">
      <c r="A6" s="611"/>
      <c r="B6" s="611"/>
      <c r="C6" s="611"/>
      <c r="D6" s="611"/>
      <c r="E6" s="611"/>
      <c r="F6" s="611"/>
      <c r="G6" s="611"/>
    </row>
    <row r="7" spans="1:7" x14ac:dyDescent="0.25">
      <c r="A7" s="611"/>
      <c r="B7" s="611"/>
      <c r="C7" s="611"/>
      <c r="D7" s="611"/>
      <c r="E7" s="611"/>
      <c r="F7" s="611"/>
      <c r="G7" s="611"/>
    </row>
    <row r="8" spans="1:7" x14ac:dyDescent="0.25">
      <c r="A8" s="611"/>
      <c r="B8" s="611"/>
      <c r="C8" s="611"/>
      <c r="D8" s="611"/>
      <c r="E8" s="611"/>
      <c r="F8" s="611"/>
      <c r="G8" s="611"/>
    </row>
    <row r="9" spans="1:7" x14ac:dyDescent="0.25">
      <c r="A9" s="611"/>
      <c r="B9" s="611"/>
      <c r="C9" s="611"/>
      <c r="D9" s="611"/>
      <c r="E9" s="611"/>
      <c r="F9" s="611"/>
      <c r="G9" s="611"/>
    </row>
    <row r="10" spans="1:7" x14ac:dyDescent="0.25">
      <c r="A10" s="611"/>
      <c r="B10" s="611"/>
      <c r="C10" s="611"/>
      <c r="D10" s="611"/>
      <c r="E10" s="611"/>
      <c r="F10" s="611"/>
      <c r="G10" s="611"/>
    </row>
    <row r="11" spans="1:7" x14ac:dyDescent="0.25">
      <c r="A11" s="611"/>
      <c r="B11" s="611"/>
      <c r="C11" s="611"/>
      <c r="D11" s="611"/>
      <c r="E11" s="611"/>
      <c r="F11" s="611"/>
      <c r="G11" s="611"/>
    </row>
    <row r="13" spans="1:7" x14ac:dyDescent="0.25">
      <c r="A13" t="s">
        <v>260</v>
      </c>
    </row>
  </sheetData>
  <mergeCells count="1">
    <mergeCell ref="A1:G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230C4-C39B-42E1-912B-A083171CFC51}">
  <sheetPr codeName="Sheet4"/>
  <dimension ref="A1:E83"/>
  <sheetViews>
    <sheetView workbookViewId="0">
      <selection activeCell="D18" sqref="D18"/>
    </sheetView>
  </sheetViews>
  <sheetFormatPr defaultColWidth="8.85546875" defaultRowHeight="15" x14ac:dyDescent="0.25"/>
  <cols>
    <col min="1" max="1" width="32.42578125" style="143" bestFit="1" customWidth="1"/>
    <col min="2" max="2" width="21" style="144" bestFit="1" customWidth="1"/>
    <col min="3" max="3" width="16" style="144" bestFit="1" customWidth="1"/>
    <col min="4" max="4" width="22.85546875" style="144" bestFit="1" customWidth="1"/>
    <col min="5" max="5" width="26.28515625" style="145" bestFit="1" customWidth="1"/>
    <col min="6" max="16384" width="8.85546875" style="17"/>
  </cols>
  <sheetData>
    <row r="1" spans="1:5" s="46" customFormat="1" ht="16.5" thickBot="1" x14ac:dyDescent="0.3">
      <c r="A1" s="137" t="s">
        <v>261</v>
      </c>
      <c r="B1" s="138" t="s">
        <v>262</v>
      </c>
      <c r="C1" s="138" t="s">
        <v>263</v>
      </c>
      <c r="D1" s="138" t="s">
        <v>264</v>
      </c>
      <c r="E1" s="139" t="s">
        <v>265</v>
      </c>
    </row>
    <row r="2" spans="1:5" x14ac:dyDescent="0.25">
      <c r="A2" s="140" t="s">
        <v>266</v>
      </c>
      <c r="B2" s="141" t="s">
        <v>267</v>
      </c>
      <c r="C2" s="141" t="s">
        <v>268</v>
      </c>
      <c r="D2" s="141" t="s">
        <v>269</v>
      </c>
      <c r="E2" s="142" t="s">
        <v>270</v>
      </c>
    </row>
    <row r="3" spans="1:5" x14ac:dyDescent="0.25">
      <c r="A3" s="140" t="s">
        <v>271</v>
      </c>
      <c r="B3" s="141" t="s">
        <v>267</v>
      </c>
      <c r="C3" s="141" t="s">
        <v>272</v>
      </c>
      <c r="D3" s="141" t="s">
        <v>269</v>
      </c>
      <c r="E3" s="142" t="s">
        <v>270</v>
      </c>
    </row>
    <row r="4" spans="1:5" x14ac:dyDescent="0.25">
      <c r="A4" s="140" t="s">
        <v>273</v>
      </c>
      <c r="B4" s="141" t="s">
        <v>267</v>
      </c>
      <c r="C4" s="141" t="s">
        <v>274</v>
      </c>
      <c r="D4" s="141" t="s">
        <v>269</v>
      </c>
      <c r="E4" s="142" t="s">
        <v>270</v>
      </c>
    </row>
    <row r="5" spans="1:5" x14ac:dyDescent="0.25">
      <c r="A5" s="140" t="s">
        <v>275</v>
      </c>
      <c r="B5" s="141" t="s">
        <v>276</v>
      </c>
      <c r="C5" s="141" t="s">
        <v>277</v>
      </c>
      <c r="D5" s="141" t="s">
        <v>269</v>
      </c>
      <c r="E5" s="142" t="s">
        <v>270</v>
      </c>
    </row>
    <row r="6" spans="1:5" x14ac:dyDescent="0.25">
      <c r="A6" s="140" t="s">
        <v>278</v>
      </c>
      <c r="B6" s="141" t="s">
        <v>276</v>
      </c>
      <c r="C6" s="141" t="s">
        <v>279</v>
      </c>
      <c r="D6" s="141" t="s">
        <v>269</v>
      </c>
      <c r="E6" s="142" t="s">
        <v>270</v>
      </c>
    </row>
    <row r="7" spans="1:5" x14ac:dyDescent="0.25">
      <c r="A7" s="140" t="s">
        <v>280</v>
      </c>
      <c r="B7" s="141" t="s">
        <v>267</v>
      </c>
      <c r="C7" s="141" t="s">
        <v>281</v>
      </c>
      <c r="D7" s="141" t="s">
        <v>269</v>
      </c>
      <c r="E7" s="142" t="s">
        <v>270</v>
      </c>
    </row>
    <row r="8" spans="1:5" x14ac:dyDescent="0.25">
      <c r="A8" s="140" t="s">
        <v>282</v>
      </c>
      <c r="B8" s="141" t="s">
        <v>267</v>
      </c>
      <c r="C8" s="141" t="s">
        <v>283</v>
      </c>
      <c r="D8" s="141" t="s">
        <v>269</v>
      </c>
      <c r="E8" s="142" t="s">
        <v>270</v>
      </c>
    </row>
    <row r="9" spans="1:5" x14ac:dyDescent="0.25">
      <c r="A9" s="140" t="s">
        <v>284</v>
      </c>
      <c r="B9" s="141" t="s">
        <v>267</v>
      </c>
      <c r="C9" s="141" t="s">
        <v>285</v>
      </c>
      <c r="D9" s="141" t="s">
        <v>269</v>
      </c>
      <c r="E9" s="142" t="s">
        <v>270</v>
      </c>
    </row>
    <row r="10" spans="1:5" x14ac:dyDescent="0.25">
      <c r="A10" s="140" t="s">
        <v>286</v>
      </c>
      <c r="B10" s="141" t="s">
        <v>267</v>
      </c>
      <c r="C10" s="141" t="s">
        <v>287</v>
      </c>
      <c r="D10" s="141" t="s">
        <v>269</v>
      </c>
      <c r="E10" s="142" t="s">
        <v>270</v>
      </c>
    </row>
    <row r="11" spans="1:5" x14ac:dyDescent="0.25">
      <c r="A11" s="140" t="s">
        <v>288</v>
      </c>
      <c r="B11" s="141" t="s">
        <v>267</v>
      </c>
      <c r="C11" s="141" t="s">
        <v>289</v>
      </c>
      <c r="D11" s="141" t="s">
        <v>269</v>
      </c>
      <c r="E11" s="142" t="s">
        <v>270</v>
      </c>
    </row>
    <row r="12" spans="1:5" x14ac:dyDescent="0.25">
      <c r="A12" s="140" t="s">
        <v>290</v>
      </c>
      <c r="B12" s="141" t="s">
        <v>267</v>
      </c>
      <c r="C12" s="141" t="s">
        <v>291</v>
      </c>
      <c r="D12" s="141" t="s">
        <v>269</v>
      </c>
      <c r="E12" s="142" t="s">
        <v>270</v>
      </c>
    </row>
    <row r="13" spans="1:5" x14ac:dyDescent="0.25">
      <c r="A13" s="140" t="s">
        <v>292</v>
      </c>
      <c r="B13" s="141" t="s">
        <v>267</v>
      </c>
      <c r="C13" s="141" t="s">
        <v>293</v>
      </c>
      <c r="D13" s="141" t="s">
        <v>269</v>
      </c>
      <c r="E13" s="142" t="s">
        <v>270</v>
      </c>
    </row>
    <row r="14" spans="1:5" x14ac:dyDescent="0.25">
      <c r="A14" s="140" t="s">
        <v>294</v>
      </c>
      <c r="B14" s="141" t="s">
        <v>267</v>
      </c>
      <c r="C14" s="141" t="s">
        <v>295</v>
      </c>
      <c r="D14" s="141" t="s">
        <v>269</v>
      </c>
      <c r="E14" s="142" t="s">
        <v>270</v>
      </c>
    </row>
    <row r="15" spans="1:5" x14ac:dyDescent="0.25">
      <c r="A15" s="140" t="s">
        <v>296</v>
      </c>
      <c r="B15" s="141" t="s">
        <v>267</v>
      </c>
      <c r="C15" s="141" t="s">
        <v>297</v>
      </c>
      <c r="D15" s="141" t="s">
        <v>269</v>
      </c>
      <c r="E15" s="142" t="s">
        <v>270</v>
      </c>
    </row>
    <row r="16" spans="1:5" x14ac:dyDescent="0.25">
      <c r="A16" s="140" t="s">
        <v>298</v>
      </c>
      <c r="B16" s="141" t="s">
        <v>267</v>
      </c>
      <c r="C16" s="141" t="s">
        <v>299</v>
      </c>
      <c r="D16" s="141" t="s">
        <v>269</v>
      </c>
      <c r="E16" s="142" t="s">
        <v>270</v>
      </c>
    </row>
    <row r="17" spans="1:5" x14ac:dyDescent="0.25">
      <c r="A17" s="140" t="s">
        <v>300</v>
      </c>
      <c r="B17" s="141" t="s">
        <v>267</v>
      </c>
      <c r="C17" s="141" t="s">
        <v>301</v>
      </c>
      <c r="D17" s="141" t="s">
        <v>269</v>
      </c>
      <c r="E17" s="142" t="s">
        <v>270</v>
      </c>
    </row>
    <row r="18" spans="1:5" x14ac:dyDescent="0.25">
      <c r="A18" s="140" t="s">
        <v>302</v>
      </c>
      <c r="B18" s="141" t="s">
        <v>267</v>
      </c>
      <c r="C18" s="141" t="s">
        <v>303</v>
      </c>
      <c r="D18" s="141" t="s">
        <v>269</v>
      </c>
      <c r="E18" s="142" t="s">
        <v>270</v>
      </c>
    </row>
    <row r="19" spans="1:5" x14ac:dyDescent="0.25">
      <c r="A19" s="140" t="s">
        <v>304</v>
      </c>
      <c r="B19" s="141" t="s">
        <v>267</v>
      </c>
      <c r="C19" s="141" t="s">
        <v>305</v>
      </c>
      <c r="D19" s="141" t="s">
        <v>306</v>
      </c>
      <c r="E19" s="142" t="s">
        <v>270</v>
      </c>
    </row>
    <row r="20" spans="1:5" x14ac:dyDescent="0.25">
      <c r="A20" s="140" t="s">
        <v>307</v>
      </c>
      <c r="B20" s="141" t="s">
        <v>267</v>
      </c>
      <c r="C20" s="141" t="s">
        <v>308</v>
      </c>
      <c r="D20" s="141" t="s">
        <v>306</v>
      </c>
      <c r="E20" s="142" t="s">
        <v>270</v>
      </c>
    </row>
    <row r="21" spans="1:5" x14ac:dyDescent="0.25">
      <c r="A21" s="140" t="s">
        <v>309</v>
      </c>
      <c r="B21" s="141" t="s">
        <v>267</v>
      </c>
      <c r="C21" s="141" t="s">
        <v>310</v>
      </c>
      <c r="D21" s="141" t="s">
        <v>306</v>
      </c>
      <c r="E21" s="142" t="s">
        <v>270</v>
      </c>
    </row>
    <row r="22" spans="1:5" x14ac:dyDescent="0.25">
      <c r="A22" s="140" t="s">
        <v>311</v>
      </c>
      <c r="B22" s="141" t="s">
        <v>267</v>
      </c>
      <c r="C22" s="141" t="s">
        <v>312</v>
      </c>
      <c r="D22" s="141" t="s">
        <v>306</v>
      </c>
      <c r="E22" s="142" t="s">
        <v>270</v>
      </c>
    </row>
    <row r="23" spans="1:5" x14ac:dyDescent="0.25">
      <c r="A23" s="140" t="s">
        <v>313</v>
      </c>
      <c r="B23" s="141" t="s">
        <v>276</v>
      </c>
      <c r="C23" s="141" t="s">
        <v>314</v>
      </c>
      <c r="D23" s="141" t="s">
        <v>306</v>
      </c>
      <c r="E23" s="142" t="s">
        <v>315</v>
      </c>
    </row>
    <row r="24" spans="1:5" x14ac:dyDescent="0.25">
      <c r="A24" s="140" t="s">
        <v>316</v>
      </c>
      <c r="B24" s="141" t="s">
        <v>267</v>
      </c>
      <c r="C24" s="141" t="s">
        <v>317</v>
      </c>
      <c r="D24" s="141" t="s">
        <v>306</v>
      </c>
      <c r="E24" s="142" t="s">
        <v>270</v>
      </c>
    </row>
    <row r="25" spans="1:5" x14ac:dyDescent="0.25">
      <c r="A25" s="140" t="s">
        <v>318</v>
      </c>
      <c r="B25" s="141" t="s">
        <v>267</v>
      </c>
      <c r="C25" s="141" t="s">
        <v>319</v>
      </c>
      <c r="D25" s="141" t="s">
        <v>306</v>
      </c>
      <c r="E25" s="142" t="s">
        <v>270</v>
      </c>
    </row>
    <row r="26" spans="1:5" x14ac:dyDescent="0.25">
      <c r="A26" s="140" t="s">
        <v>320</v>
      </c>
      <c r="B26" s="141" t="s">
        <v>267</v>
      </c>
      <c r="C26" s="141" t="s">
        <v>321</v>
      </c>
      <c r="D26" s="141" t="s">
        <v>306</v>
      </c>
      <c r="E26" s="142" t="s">
        <v>270</v>
      </c>
    </row>
    <row r="27" spans="1:5" x14ac:dyDescent="0.25">
      <c r="A27" s="140" t="s">
        <v>322</v>
      </c>
      <c r="B27" s="141" t="s">
        <v>267</v>
      </c>
      <c r="C27" s="141" t="s">
        <v>323</v>
      </c>
      <c r="D27" s="141" t="s">
        <v>306</v>
      </c>
      <c r="E27" s="142" t="s">
        <v>270</v>
      </c>
    </row>
    <row r="28" spans="1:5" x14ac:dyDescent="0.25">
      <c r="A28" s="140" t="s">
        <v>324</v>
      </c>
      <c r="B28" s="141" t="s">
        <v>267</v>
      </c>
      <c r="C28" s="141" t="s">
        <v>325</v>
      </c>
      <c r="D28" s="141" t="s">
        <v>306</v>
      </c>
      <c r="E28" s="142" t="s">
        <v>270</v>
      </c>
    </row>
    <row r="29" spans="1:5" x14ac:dyDescent="0.25">
      <c r="A29" s="140" t="s">
        <v>326</v>
      </c>
      <c r="B29" s="141" t="s">
        <v>267</v>
      </c>
      <c r="C29" s="141" t="s">
        <v>327</v>
      </c>
      <c r="D29" s="141" t="s">
        <v>306</v>
      </c>
      <c r="E29" s="142" t="s">
        <v>270</v>
      </c>
    </row>
    <row r="30" spans="1:5" x14ac:dyDescent="0.25">
      <c r="A30" s="140" t="s">
        <v>328</v>
      </c>
      <c r="B30" s="141" t="s">
        <v>267</v>
      </c>
      <c r="C30" s="141" t="s">
        <v>329</v>
      </c>
      <c r="D30" s="141" t="s">
        <v>306</v>
      </c>
      <c r="E30" s="142" t="s">
        <v>270</v>
      </c>
    </row>
    <row r="31" spans="1:5" x14ac:dyDescent="0.25">
      <c r="A31" s="140" t="s">
        <v>330</v>
      </c>
      <c r="B31" s="141" t="s">
        <v>267</v>
      </c>
      <c r="C31" s="141" t="s">
        <v>331</v>
      </c>
      <c r="D31" s="141" t="s">
        <v>306</v>
      </c>
      <c r="E31" s="142" t="s">
        <v>270</v>
      </c>
    </row>
    <row r="32" spans="1:5" x14ac:dyDescent="0.25">
      <c r="A32" s="140" t="s">
        <v>332</v>
      </c>
      <c r="B32" s="141" t="s">
        <v>267</v>
      </c>
      <c r="C32" s="141" t="s">
        <v>333</v>
      </c>
      <c r="D32" s="141" t="s">
        <v>306</v>
      </c>
      <c r="E32" s="142" t="s">
        <v>270</v>
      </c>
    </row>
    <row r="33" spans="1:5" x14ac:dyDescent="0.25">
      <c r="A33" s="140" t="s">
        <v>334</v>
      </c>
      <c r="B33" s="141" t="s">
        <v>267</v>
      </c>
      <c r="C33" s="141" t="s">
        <v>335</v>
      </c>
      <c r="D33" s="141" t="s">
        <v>306</v>
      </c>
      <c r="E33" s="142" t="s">
        <v>270</v>
      </c>
    </row>
    <row r="34" spans="1:5" x14ac:dyDescent="0.25">
      <c r="A34" s="140" t="s">
        <v>336</v>
      </c>
      <c r="B34" s="141" t="s">
        <v>267</v>
      </c>
      <c r="C34" s="141" t="s">
        <v>337</v>
      </c>
      <c r="D34" s="141" t="s">
        <v>306</v>
      </c>
      <c r="E34" s="142" t="s">
        <v>270</v>
      </c>
    </row>
    <row r="35" spans="1:5" x14ac:dyDescent="0.25">
      <c r="A35" s="140" t="s">
        <v>338</v>
      </c>
      <c r="B35" s="141" t="s">
        <v>267</v>
      </c>
      <c r="C35" s="141" t="s">
        <v>339</v>
      </c>
      <c r="D35" s="141" t="s">
        <v>306</v>
      </c>
      <c r="E35" s="142" t="s">
        <v>270</v>
      </c>
    </row>
    <row r="36" spans="1:5" x14ac:dyDescent="0.25">
      <c r="A36" s="140" t="s">
        <v>340</v>
      </c>
      <c r="B36" s="141" t="s">
        <v>267</v>
      </c>
      <c r="C36" s="141" t="s">
        <v>341</v>
      </c>
      <c r="D36" s="141" t="s">
        <v>306</v>
      </c>
      <c r="E36" s="142" t="s">
        <v>270</v>
      </c>
    </row>
    <row r="37" spans="1:5" x14ac:dyDescent="0.25">
      <c r="A37" s="140" t="s">
        <v>342</v>
      </c>
      <c r="B37" s="141" t="s">
        <v>267</v>
      </c>
      <c r="C37" s="141" t="s">
        <v>343</v>
      </c>
      <c r="D37" s="141" t="s">
        <v>306</v>
      </c>
      <c r="E37" s="142" t="s">
        <v>270</v>
      </c>
    </row>
    <row r="38" spans="1:5" x14ac:dyDescent="0.25">
      <c r="A38" s="140" t="s">
        <v>344</v>
      </c>
      <c r="B38" s="141" t="s">
        <v>267</v>
      </c>
      <c r="C38" s="141" t="s">
        <v>345</v>
      </c>
      <c r="D38" s="141" t="s">
        <v>306</v>
      </c>
      <c r="E38" s="142" t="s">
        <v>270</v>
      </c>
    </row>
    <row r="39" spans="1:5" x14ac:dyDescent="0.25">
      <c r="A39" s="140" t="s">
        <v>346</v>
      </c>
      <c r="B39" s="141" t="s">
        <v>267</v>
      </c>
      <c r="C39" s="141" t="s">
        <v>347</v>
      </c>
      <c r="D39" s="141" t="s">
        <v>306</v>
      </c>
      <c r="E39" s="142" t="s">
        <v>270</v>
      </c>
    </row>
    <row r="40" spans="1:5" x14ac:dyDescent="0.25">
      <c r="A40" s="140" t="s">
        <v>348</v>
      </c>
      <c r="B40" s="141" t="s">
        <v>267</v>
      </c>
      <c r="C40" s="141" t="s">
        <v>349</v>
      </c>
      <c r="D40" s="141" t="s">
        <v>306</v>
      </c>
      <c r="E40" s="142" t="s">
        <v>270</v>
      </c>
    </row>
    <row r="41" spans="1:5" x14ac:dyDescent="0.25">
      <c r="A41" s="140" t="s">
        <v>350</v>
      </c>
      <c r="B41" s="141" t="s">
        <v>267</v>
      </c>
      <c r="C41" s="141" t="s">
        <v>351</v>
      </c>
      <c r="D41" s="141" t="s">
        <v>306</v>
      </c>
      <c r="E41" s="142" t="s">
        <v>270</v>
      </c>
    </row>
    <row r="42" spans="1:5" x14ac:dyDescent="0.25">
      <c r="A42" s="140" t="s">
        <v>352</v>
      </c>
      <c r="B42" s="141" t="s">
        <v>267</v>
      </c>
      <c r="C42" s="141" t="s">
        <v>353</v>
      </c>
      <c r="D42" s="141" t="s">
        <v>306</v>
      </c>
      <c r="E42" s="142" t="s">
        <v>270</v>
      </c>
    </row>
    <row r="43" spans="1:5" x14ac:dyDescent="0.25">
      <c r="A43" s="140" t="s">
        <v>354</v>
      </c>
      <c r="B43" s="141" t="s">
        <v>267</v>
      </c>
      <c r="C43" s="141" t="s">
        <v>355</v>
      </c>
      <c r="D43" s="141" t="s">
        <v>306</v>
      </c>
      <c r="E43" s="142" t="s">
        <v>270</v>
      </c>
    </row>
    <row r="44" spans="1:5" x14ac:dyDescent="0.25">
      <c r="A44" s="140" t="s">
        <v>356</v>
      </c>
      <c r="B44" s="141" t="s">
        <v>267</v>
      </c>
      <c r="C44" s="141" t="s">
        <v>357</v>
      </c>
      <c r="D44" s="141" t="s">
        <v>306</v>
      </c>
      <c r="E44" s="142" t="s">
        <v>270</v>
      </c>
    </row>
    <row r="45" spans="1:5" x14ac:dyDescent="0.25">
      <c r="A45" s="140" t="s">
        <v>358</v>
      </c>
      <c r="B45" s="141" t="s">
        <v>267</v>
      </c>
      <c r="C45" s="141" t="s">
        <v>359</v>
      </c>
      <c r="D45" s="141" t="s">
        <v>306</v>
      </c>
      <c r="E45" s="142" t="s">
        <v>270</v>
      </c>
    </row>
    <row r="46" spans="1:5" x14ac:dyDescent="0.25">
      <c r="A46" s="140" t="s">
        <v>360</v>
      </c>
      <c r="B46" s="141" t="s">
        <v>267</v>
      </c>
      <c r="C46" s="141" t="s">
        <v>361</v>
      </c>
      <c r="D46" s="141" t="s">
        <v>306</v>
      </c>
      <c r="E46" s="142" t="s">
        <v>270</v>
      </c>
    </row>
    <row r="47" spans="1:5" x14ac:dyDescent="0.25">
      <c r="A47" s="140" t="s">
        <v>362</v>
      </c>
      <c r="B47" s="141" t="s">
        <v>267</v>
      </c>
      <c r="C47" s="141" t="s">
        <v>363</v>
      </c>
      <c r="D47" s="141" t="s">
        <v>306</v>
      </c>
      <c r="E47" s="142" t="s">
        <v>270</v>
      </c>
    </row>
    <row r="48" spans="1:5" x14ac:dyDescent="0.25">
      <c r="A48" s="140" t="s">
        <v>364</v>
      </c>
      <c r="B48" s="141" t="s">
        <v>267</v>
      </c>
      <c r="C48" s="141" t="s">
        <v>365</v>
      </c>
      <c r="D48" s="141" t="s">
        <v>306</v>
      </c>
      <c r="E48" s="142" t="s">
        <v>270</v>
      </c>
    </row>
    <row r="49" spans="1:5" x14ac:dyDescent="0.25">
      <c r="A49" s="140" t="s">
        <v>366</v>
      </c>
      <c r="B49" s="141" t="s">
        <v>267</v>
      </c>
      <c r="C49" s="141" t="s">
        <v>367</v>
      </c>
      <c r="D49" s="141" t="s">
        <v>306</v>
      </c>
      <c r="E49" s="142" t="s">
        <v>270</v>
      </c>
    </row>
    <row r="50" spans="1:5" x14ac:dyDescent="0.25">
      <c r="A50" s="140" t="s">
        <v>368</v>
      </c>
      <c r="B50" s="141" t="s">
        <v>267</v>
      </c>
      <c r="C50" s="141" t="s">
        <v>369</v>
      </c>
      <c r="D50" s="141" t="s">
        <v>306</v>
      </c>
      <c r="E50" s="142" t="s">
        <v>270</v>
      </c>
    </row>
    <row r="51" spans="1:5" x14ac:dyDescent="0.25">
      <c r="A51" s="140" t="s">
        <v>370</v>
      </c>
      <c r="B51" s="141" t="s">
        <v>267</v>
      </c>
      <c r="C51" s="141" t="s">
        <v>371</v>
      </c>
      <c r="D51" s="141" t="s">
        <v>306</v>
      </c>
      <c r="E51" s="142" t="s">
        <v>270</v>
      </c>
    </row>
    <row r="52" spans="1:5" x14ac:dyDescent="0.25">
      <c r="A52" s="140" t="s">
        <v>372</v>
      </c>
      <c r="B52" s="141" t="s">
        <v>276</v>
      </c>
      <c r="C52" s="141" t="s">
        <v>373</v>
      </c>
      <c r="D52" s="141" t="s">
        <v>306</v>
      </c>
      <c r="E52" s="142" t="s">
        <v>270</v>
      </c>
    </row>
    <row r="53" spans="1:5" x14ac:dyDescent="0.25">
      <c r="A53" s="140" t="s">
        <v>374</v>
      </c>
      <c r="B53" s="141" t="s">
        <v>267</v>
      </c>
      <c r="C53" s="141" t="s">
        <v>375</v>
      </c>
      <c r="D53" s="141" t="s">
        <v>306</v>
      </c>
      <c r="E53" s="142" t="s">
        <v>270</v>
      </c>
    </row>
    <row r="54" spans="1:5" x14ac:dyDescent="0.25">
      <c r="A54" s="140" t="s">
        <v>376</v>
      </c>
      <c r="B54" s="141" t="s">
        <v>267</v>
      </c>
      <c r="C54" s="141" t="s">
        <v>377</v>
      </c>
      <c r="D54" s="141" t="s">
        <v>306</v>
      </c>
      <c r="E54" s="142" t="s">
        <v>270</v>
      </c>
    </row>
    <row r="55" spans="1:5" x14ac:dyDescent="0.25">
      <c r="A55" s="140" t="s">
        <v>378</v>
      </c>
      <c r="B55" s="141" t="s">
        <v>267</v>
      </c>
      <c r="C55" s="141" t="s">
        <v>379</v>
      </c>
      <c r="D55" s="141" t="s">
        <v>306</v>
      </c>
      <c r="E55" s="142" t="s">
        <v>270</v>
      </c>
    </row>
    <row r="56" spans="1:5" x14ac:dyDescent="0.25">
      <c r="A56" s="140" t="s">
        <v>380</v>
      </c>
      <c r="B56" s="141" t="s">
        <v>267</v>
      </c>
      <c r="C56" s="141" t="s">
        <v>381</v>
      </c>
      <c r="D56" s="141" t="s">
        <v>306</v>
      </c>
      <c r="E56" s="142" t="s">
        <v>270</v>
      </c>
    </row>
    <row r="57" spans="1:5" x14ac:dyDescent="0.25">
      <c r="A57" s="140" t="s">
        <v>382</v>
      </c>
      <c r="B57" s="141" t="s">
        <v>267</v>
      </c>
      <c r="C57" s="141" t="s">
        <v>383</v>
      </c>
      <c r="D57" s="141" t="s">
        <v>306</v>
      </c>
      <c r="E57" s="142" t="s">
        <v>270</v>
      </c>
    </row>
    <row r="58" spans="1:5" x14ac:dyDescent="0.25">
      <c r="A58" s="140" t="s">
        <v>384</v>
      </c>
      <c r="B58" s="141" t="s">
        <v>267</v>
      </c>
      <c r="C58" s="141" t="s">
        <v>385</v>
      </c>
      <c r="D58" s="141" t="s">
        <v>306</v>
      </c>
      <c r="E58" s="142" t="s">
        <v>270</v>
      </c>
    </row>
    <row r="59" spans="1:5" x14ac:dyDescent="0.25">
      <c r="A59" s="140" t="s">
        <v>386</v>
      </c>
      <c r="B59" s="141" t="s">
        <v>267</v>
      </c>
      <c r="C59" s="141" t="s">
        <v>387</v>
      </c>
      <c r="D59" s="141" t="s">
        <v>306</v>
      </c>
      <c r="E59" s="142" t="s">
        <v>270</v>
      </c>
    </row>
    <row r="60" spans="1:5" x14ac:dyDescent="0.25">
      <c r="A60" s="140" t="s">
        <v>388</v>
      </c>
      <c r="B60" s="141" t="s">
        <v>267</v>
      </c>
      <c r="C60" s="141" t="s">
        <v>389</v>
      </c>
      <c r="D60" s="141" t="s">
        <v>306</v>
      </c>
      <c r="E60" s="142" t="s">
        <v>270</v>
      </c>
    </row>
    <row r="61" spans="1:5" x14ac:dyDescent="0.25">
      <c r="A61" s="140" t="s">
        <v>390</v>
      </c>
      <c r="B61" s="141" t="s">
        <v>267</v>
      </c>
      <c r="C61" s="141" t="s">
        <v>391</v>
      </c>
      <c r="D61" s="141" t="s">
        <v>306</v>
      </c>
      <c r="E61" s="142" t="s">
        <v>270</v>
      </c>
    </row>
    <row r="62" spans="1:5" x14ac:dyDescent="0.25">
      <c r="A62" s="140" t="s">
        <v>392</v>
      </c>
      <c r="B62" s="141" t="s">
        <v>267</v>
      </c>
      <c r="C62" s="141" t="s">
        <v>393</v>
      </c>
      <c r="D62" s="141" t="s">
        <v>306</v>
      </c>
      <c r="E62" s="142" t="s">
        <v>270</v>
      </c>
    </row>
    <row r="63" spans="1:5" x14ac:dyDescent="0.25">
      <c r="A63" s="140" t="s">
        <v>394</v>
      </c>
      <c r="B63" s="141" t="s">
        <v>267</v>
      </c>
      <c r="C63" s="141" t="s">
        <v>395</v>
      </c>
      <c r="D63" s="141" t="s">
        <v>306</v>
      </c>
      <c r="E63" s="142" t="s">
        <v>270</v>
      </c>
    </row>
    <row r="64" spans="1:5" x14ac:dyDescent="0.25">
      <c r="A64" s="140" t="s">
        <v>396</v>
      </c>
      <c r="B64" s="141" t="s">
        <v>267</v>
      </c>
      <c r="C64" s="141" t="s">
        <v>397</v>
      </c>
      <c r="D64" s="141" t="s">
        <v>306</v>
      </c>
      <c r="E64" s="142" t="s">
        <v>270</v>
      </c>
    </row>
    <row r="65" spans="1:5" x14ac:dyDescent="0.25">
      <c r="A65" s="140" t="s">
        <v>398</v>
      </c>
      <c r="B65" s="141" t="s">
        <v>267</v>
      </c>
      <c r="C65" s="141" t="s">
        <v>399</v>
      </c>
      <c r="D65" s="141" t="s">
        <v>306</v>
      </c>
      <c r="E65" s="142" t="s">
        <v>270</v>
      </c>
    </row>
    <row r="66" spans="1:5" x14ac:dyDescent="0.25">
      <c r="A66" s="140" t="s">
        <v>400</v>
      </c>
      <c r="B66" s="141" t="s">
        <v>267</v>
      </c>
      <c r="C66" s="141" t="s">
        <v>401</v>
      </c>
      <c r="D66" s="141" t="s">
        <v>306</v>
      </c>
      <c r="E66" s="142" t="s">
        <v>270</v>
      </c>
    </row>
    <row r="67" spans="1:5" x14ac:dyDescent="0.25">
      <c r="A67" s="140" t="s">
        <v>402</v>
      </c>
      <c r="B67" s="141" t="s">
        <v>267</v>
      </c>
      <c r="C67" s="141" t="s">
        <v>403</v>
      </c>
      <c r="D67" s="141" t="s">
        <v>306</v>
      </c>
      <c r="E67" s="142" t="s">
        <v>270</v>
      </c>
    </row>
    <row r="68" spans="1:5" x14ac:dyDescent="0.25">
      <c r="A68" s="140" t="s">
        <v>404</v>
      </c>
      <c r="B68" s="141" t="s">
        <v>267</v>
      </c>
      <c r="C68" s="141" t="s">
        <v>405</v>
      </c>
      <c r="D68" s="141" t="s">
        <v>306</v>
      </c>
      <c r="E68" s="142" t="s">
        <v>270</v>
      </c>
    </row>
    <row r="69" spans="1:5" x14ac:dyDescent="0.25">
      <c r="A69" s="140" t="s">
        <v>406</v>
      </c>
      <c r="B69" s="141" t="s">
        <v>267</v>
      </c>
      <c r="C69" s="141" t="s">
        <v>407</v>
      </c>
      <c r="D69" s="141" t="s">
        <v>306</v>
      </c>
      <c r="E69" s="142" t="s">
        <v>270</v>
      </c>
    </row>
    <row r="70" spans="1:5" x14ac:dyDescent="0.25">
      <c r="A70" s="140" t="s">
        <v>408</v>
      </c>
      <c r="B70" s="141" t="s">
        <v>267</v>
      </c>
      <c r="C70" s="141" t="s">
        <v>409</v>
      </c>
      <c r="D70" s="141" t="s">
        <v>306</v>
      </c>
      <c r="E70" s="142" t="s">
        <v>270</v>
      </c>
    </row>
    <row r="71" spans="1:5" x14ac:dyDescent="0.25">
      <c r="A71" s="140" t="s">
        <v>410</v>
      </c>
      <c r="B71" s="141" t="s">
        <v>267</v>
      </c>
      <c r="C71" s="141" t="s">
        <v>411</v>
      </c>
      <c r="D71" s="141" t="s">
        <v>306</v>
      </c>
      <c r="E71" s="142" t="s">
        <v>270</v>
      </c>
    </row>
    <row r="72" spans="1:5" x14ac:dyDescent="0.25">
      <c r="A72" s="140" t="s">
        <v>412</v>
      </c>
      <c r="B72" s="141" t="s">
        <v>267</v>
      </c>
      <c r="C72" s="141" t="s">
        <v>413</v>
      </c>
      <c r="D72" s="141" t="s">
        <v>306</v>
      </c>
      <c r="E72" s="142" t="s">
        <v>270</v>
      </c>
    </row>
    <row r="73" spans="1:5" x14ac:dyDescent="0.25">
      <c r="A73" s="140" t="s">
        <v>414</v>
      </c>
      <c r="B73" s="141" t="s">
        <v>267</v>
      </c>
      <c r="C73" s="141" t="s">
        <v>415</v>
      </c>
      <c r="D73" s="141" t="s">
        <v>306</v>
      </c>
      <c r="E73" s="142" t="s">
        <v>270</v>
      </c>
    </row>
    <row r="74" spans="1:5" x14ac:dyDescent="0.25">
      <c r="A74" s="140" t="s">
        <v>416</v>
      </c>
      <c r="B74" s="141" t="s">
        <v>267</v>
      </c>
      <c r="C74" s="141" t="s">
        <v>417</v>
      </c>
      <c r="D74" s="141" t="s">
        <v>306</v>
      </c>
      <c r="E74" s="142" t="s">
        <v>270</v>
      </c>
    </row>
    <row r="75" spans="1:5" x14ac:dyDescent="0.25">
      <c r="A75" s="140" t="s">
        <v>418</v>
      </c>
      <c r="B75" s="141" t="s">
        <v>267</v>
      </c>
      <c r="C75" s="141" t="s">
        <v>419</v>
      </c>
      <c r="D75" s="141" t="s">
        <v>306</v>
      </c>
      <c r="E75" s="142" t="s">
        <v>270</v>
      </c>
    </row>
    <row r="76" spans="1:5" x14ac:dyDescent="0.25">
      <c r="A76" s="140" t="s">
        <v>420</v>
      </c>
      <c r="B76" s="141" t="s">
        <v>267</v>
      </c>
      <c r="C76" s="141" t="s">
        <v>421</v>
      </c>
      <c r="D76" s="141" t="s">
        <v>306</v>
      </c>
      <c r="E76" s="142" t="s">
        <v>270</v>
      </c>
    </row>
    <row r="77" spans="1:5" x14ac:dyDescent="0.25">
      <c r="A77" s="140" t="s">
        <v>422</v>
      </c>
      <c r="B77" s="141" t="s">
        <v>267</v>
      </c>
      <c r="C77" s="141" t="s">
        <v>423</v>
      </c>
      <c r="D77" s="141" t="s">
        <v>424</v>
      </c>
      <c r="E77" s="142" t="s">
        <v>270</v>
      </c>
    </row>
    <row r="78" spans="1:5" x14ac:dyDescent="0.25">
      <c r="A78" s="140" t="s">
        <v>425</v>
      </c>
      <c r="B78" s="141" t="s">
        <v>267</v>
      </c>
      <c r="C78" s="141" t="s">
        <v>426</v>
      </c>
      <c r="D78" s="141" t="s">
        <v>424</v>
      </c>
      <c r="E78" s="142" t="s">
        <v>270</v>
      </c>
    </row>
    <row r="79" spans="1:5" x14ac:dyDescent="0.25">
      <c r="A79" s="140" t="s">
        <v>427</v>
      </c>
      <c r="B79" s="141" t="s">
        <v>267</v>
      </c>
      <c r="C79" s="141" t="s">
        <v>428</v>
      </c>
      <c r="D79" s="141" t="s">
        <v>424</v>
      </c>
      <c r="E79" s="142" t="s">
        <v>270</v>
      </c>
    </row>
    <row r="80" spans="1:5" x14ac:dyDescent="0.25">
      <c r="A80" s="140" t="s">
        <v>429</v>
      </c>
      <c r="B80" s="141" t="s">
        <v>267</v>
      </c>
      <c r="C80" s="141" t="s">
        <v>430</v>
      </c>
      <c r="D80" s="141" t="s">
        <v>424</v>
      </c>
      <c r="E80" s="142" t="s">
        <v>270</v>
      </c>
    </row>
    <row r="81" spans="1:5" x14ac:dyDescent="0.25">
      <c r="A81" s="140" t="s">
        <v>431</v>
      </c>
      <c r="B81" s="141" t="s">
        <v>267</v>
      </c>
      <c r="C81" s="141" t="s">
        <v>432</v>
      </c>
      <c r="D81" s="141" t="s">
        <v>306</v>
      </c>
      <c r="E81" s="142" t="s">
        <v>270</v>
      </c>
    </row>
    <row r="82" spans="1:5" x14ac:dyDescent="0.25">
      <c r="A82" s="140" t="s">
        <v>433</v>
      </c>
      <c r="B82" s="141" t="s">
        <v>267</v>
      </c>
      <c r="C82" s="141" t="s">
        <v>434</v>
      </c>
      <c r="D82" s="141" t="s">
        <v>435</v>
      </c>
      <c r="E82" s="142" t="s">
        <v>270</v>
      </c>
    </row>
    <row r="83" spans="1:5" x14ac:dyDescent="0.25">
      <c r="A83" s="140" t="s">
        <v>436</v>
      </c>
      <c r="B83" s="141" t="s">
        <v>267</v>
      </c>
      <c r="C83" s="141" t="s">
        <v>437</v>
      </c>
      <c r="D83" s="141" t="s">
        <v>306</v>
      </c>
      <c r="E83" s="142" t="s">
        <v>270</v>
      </c>
    </row>
  </sheetData>
  <sortState xmlns:xlrd2="http://schemas.microsoft.com/office/spreadsheetml/2017/richdata2" ref="A2:E84">
    <sortCondition ref="C1:C84"/>
  </sortState>
  <phoneticPr fontId="10" type="noConversion"/>
  <dataValidations count="2">
    <dataValidation type="list" allowBlank="1" showInputMessage="1" showErrorMessage="1" sqref="B2:B83" xr:uid="{774B1409-0E02-4B68-BFD0-8B9570737153}">
      <formula1>"TABOO, PROTECTED, GUARDED, UNDEFINED"</formula1>
    </dataValidation>
    <dataValidation type="list" allowBlank="1" showInputMessage="1" showErrorMessage="1" sqref="E2:E83" xr:uid="{E64D7FBB-D7EE-437F-B164-7A4651E6ABF2}">
      <formula1>"GROUND, AIR, GROUND &amp; AIR, UNDEFINED"</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3DF48-A587-4A54-AD8C-ECFD0885E083}">
  <sheetPr codeName="Sheet6"/>
  <dimension ref="A1:B1505"/>
  <sheetViews>
    <sheetView topLeftCell="A1475" zoomScale="80" zoomScaleNormal="80" workbookViewId="0">
      <selection activeCell="B1506" sqref="B1506"/>
    </sheetView>
  </sheetViews>
  <sheetFormatPr defaultColWidth="8.85546875" defaultRowHeight="15" x14ac:dyDescent="0.2"/>
  <cols>
    <col min="1" max="1" width="25.7109375" style="148" bestFit="1" customWidth="1"/>
    <col min="2" max="2" width="22.7109375" style="149" bestFit="1" customWidth="1"/>
    <col min="3" max="16384" width="8.85546875" style="47"/>
  </cols>
  <sheetData>
    <row r="1" spans="1:2" ht="16.5" thickBot="1" x14ac:dyDescent="0.25">
      <c r="A1" s="146" t="s">
        <v>261</v>
      </c>
      <c r="B1" s="147" t="s">
        <v>263</v>
      </c>
    </row>
    <row r="2" spans="1:2" x14ac:dyDescent="0.2">
      <c r="A2" s="148" t="s">
        <v>438</v>
      </c>
      <c r="B2" s="149" t="s">
        <v>439</v>
      </c>
    </row>
    <row r="3" spans="1:2" x14ac:dyDescent="0.2">
      <c r="A3" s="148" t="s">
        <v>440</v>
      </c>
      <c r="B3" s="149" t="s">
        <v>441</v>
      </c>
    </row>
    <row r="4" spans="1:2" x14ac:dyDescent="0.2">
      <c r="A4" s="148" t="s">
        <v>442</v>
      </c>
      <c r="B4" s="149" t="s">
        <v>443</v>
      </c>
    </row>
    <row r="5" spans="1:2" x14ac:dyDescent="0.2">
      <c r="A5" s="148" t="s">
        <v>444</v>
      </c>
      <c r="B5" s="149" t="s">
        <v>445</v>
      </c>
    </row>
    <row r="6" spans="1:2" x14ac:dyDescent="0.2">
      <c r="A6" s="148" t="s">
        <v>446</v>
      </c>
      <c r="B6" s="149" t="s">
        <v>447</v>
      </c>
    </row>
    <row r="7" spans="1:2" x14ac:dyDescent="0.2">
      <c r="A7" s="148" t="s">
        <v>448</v>
      </c>
      <c r="B7" s="149" t="s">
        <v>449</v>
      </c>
    </row>
    <row r="8" spans="1:2" x14ac:dyDescent="0.2">
      <c r="A8" s="148" t="s">
        <v>450</v>
      </c>
      <c r="B8" s="149" t="s">
        <v>451</v>
      </c>
    </row>
    <row r="9" spans="1:2" x14ac:dyDescent="0.2">
      <c r="A9" s="148" t="s">
        <v>452</v>
      </c>
      <c r="B9" s="149" t="s">
        <v>453</v>
      </c>
    </row>
    <row r="10" spans="1:2" x14ac:dyDescent="0.2">
      <c r="A10" s="148" t="s">
        <v>454</v>
      </c>
      <c r="B10" s="149" t="s">
        <v>455</v>
      </c>
    </row>
    <row r="11" spans="1:2" x14ac:dyDescent="0.2">
      <c r="A11" s="148" t="s">
        <v>456</v>
      </c>
      <c r="B11" s="149" t="s">
        <v>457</v>
      </c>
    </row>
    <row r="12" spans="1:2" x14ac:dyDescent="0.2">
      <c r="A12" s="148" t="s">
        <v>458</v>
      </c>
      <c r="B12" s="149" t="s">
        <v>459</v>
      </c>
    </row>
    <row r="13" spans="1:2" x14ac:dyDescent="0.2">
      <c r="A13" s="148" t="s">
        <v>460</v>
      </c>
      <c r="B13" s="149" t="s">
        <v>461</v>
      </c>
    </row>
    <row r="14" spans="1:2" x14ac:dyDescent="0.2">
      <c r="A14" s="148" t="s">
        <v>462</v>
      </c>
      <c r="B14" s="149" t="s">
        <v>463</v>
      </c>
    </row>
    <row r="15" spans="1:2" x14ac:dyDescent="0.2">
      <c r="A15" s="148" t="s">
        <v>464</v>
      </c>
      <c r="B15" s="149" t="s">
        <v>465</v>
      </c>
    </row>
    <row r="16" spans="1:2" x14ac:dyDescent="0.2">
      <c r="A16" s="148" t="s">
        <v>466</v>
      </c>
      <c r="B16" s="149" t="s">
        <v>467</v>
      </c>
    </row>
    <row r="17" spans="1:2" x14ac:dyDescent="0.2">
      <c r="A17" s="148" t="s">
        <v>468</v>
      </c>
      <c r="B17" s="149" t="s">
        <v>469</v>
      </c>
    </row>
    <row r="18" spans="1:2" x14ac:dyDescent="0.2">
      <c r="A18" s="148" t="s">
        <v>470</v>
      </c>
      <c r="B18" s="149" t="s">
        <v>471</v>
      </c>
    </row>
    <row r="19" spans="1:2" x14ac:dyDescent="0.2">
      <c r="A19" s="148" t="s">
        <v>472</v>
      </c>
      <c r="B19" s="149" t="s">
        <v>473</v>
      </c>
    </row>
    <row r="20" spans="1:2" x14ac:dyDescent="0.2">
      <c r="A20" s="148" t="s">
        <v>474</v>
      </c>
      <c r="B20" s="149" t="s">
        <v>475</v>
      </c>
    </row>
    <row r="21" spans="1:2" x14ac:dyDescent="0.2">
      <c r="A21" s="148" t="s">
        <v>476</v>
      </c>
      <c r="B21" s="149" t="s">
        <v>477</v>
      </c>
    </row>
    <row r="22" spans="1:2" x14ac:dyDescent="0.2">
      <c r="A22" s="148" t="s">
        <v>478</v>
      </c>
      <c r="B22" s="149" t="s">
        <v>479</v>
      </c>
    </row>
    <row r="23" spans="1:2" x14ac:dyDescent="0.2">
      <c r="A23" s="148" t="s">
        <v>480</v>
      </c>
      <c r="B23" s="149" t="s">
        <v>481</v>
      </c>
    </row>
    <row r="24" spans="1:2" x14ac:dyDescent="0.2">
      <c r="A24" s="148" t="s">
        <v>482</v>
      </c>
      <c r="B24" s="149" t="s">
        <v>483</v>
      </c>
    </row>
    <row r="25" spans="1:2" x14ac:dyDescent="0.2">
      <c r="A25" s="148" t="s">
        <v>484</v>
      </c>
      <c r="B25" s="149" t="s">
        <v>485</v>
      </c>
    </row>
    <row r="26" spans="1:2" x14ac:dyDescent="0.2">
      <c r="A26" s="148" t="s">
        <v>486</v>
      </c>
      <c r="B26" s="149" t="s">
        <v>487</v>
      </c>
    </row>
    <row r="27" spans="1:2" x14ac:dyDescent="0.2">
      <c r="A27" s="148" t="s">
        <v>488</v>
      </c>
      <c r="B27" s="149" t="s">
        <v>489</v>
      </c>
    </row>
    <row r="28" spans="1:2" x14ac:dyDescent="0.2">
      <c r="A28" s="148" t="s">
        <v>490</v>
      </c>
      <c r="B28" s="149" t="s">
        <v>491</v>
      </c>
    </row>
    <row r="29" spans="1:2" x14ac:dyDescent="0.2">
      <c r="A29" s="148" t="s">
        <v>492</v>
      </c>
      <c r="B29" s="149" t="s">
        <v>493</v>
      </c>
    </row>
    <row r="30" spans="1:2" x14ac:dyDescent="0.2">
      <c r="A30" s="148" t="s">
        <v>494</v>
      </c>
      <c r="B30" s="149" t="s">
        <v>495</v>
      </c>
    </row>
    <row r="31" spans="1:2" x14ac:dyDescent="0.2">
      <c r="A31" s="148" t="s">
        <v>496</v>
      </c>
      <c r="B31" s="149" t="s">
        <v>497</v>
      </c>
    </row>
    <row r="32" spans="1:2" x14ac:dyDescent="0.2">
      <c r="A32" s="148" t="s">
        <v>498</v>
      </c>
      <c r="B32" s="149" t="s">
        <v>499</v>
      </c>
    </row>
    <row r="33" spans="1:2" x14ac:dyDescent="0.2">
      <c r="A33" s="148" t="s">
        <v>500</v>
      </c>
      <c r="B33" s="149" t="s">
        <v>501</v>
      </c>
    </row>
    <row r="34" spans="1:2" x14ac:dyDescent="0.2">
      <c r="A34" s="148" t="s">
        <v>502</v>
      </c>
      <c r="B34" s="149" t="s">
        <v>503</v>
      </c>
    </row>
    <row r="35" spans="1:2" x14ac:dyDescent="0.2">
      <c r="A35" s="148" t="s">
        <v>504</v>
      </c>
      <c r="B35" s="149" t="s">
        <v>505</v>
      </c>
    </row>
    <row r="36" spans="1:2" x14ac:dyDescent="0.2">
      <c r="A36" s="148" t="s">
        <v>506</v>
      </c>
      <c r="B36" s="149" t="s">
        <v>507</v>
      </c>
    </row>
    <row r="37" spans="1:2" x14ac:dyDescent="0.2">
      <c r="A37" s="148" t="s">
        <v>508</v>
      </c>
      <c r="B37" s="149" t="s">
        <v>509</v>
      </c>
    </row>
    <row r="38" spans="1:2" x14ac:dyDescent="0.2">
      <c r="A38" s="148" t="s">
        <v>510</v>
      </c>
      <c r="B38" s="149" t="s">
        <v>511</v>
      </c>
    </row>
    <row r="39" spans="1:2" x14ac:dyDescent="0.2">
      <c r="A39" s="148" t="s">
        <v>512</v>
      </c>
      <c r="B39" s="149" t="s">
        <v>513</v>
      </c>
    </row>
    <row r="40" spans="1:2" x14ac:dyDescent="0.2">
      <c r="A40" s="148" t="s">
        <v>514</v>
      </c>
      <c r="B40" s="149" t="s">
        <v>515</v>
      </c>
    </row>
    <row r="41" spans="1:2" x14ac:dyDescent="0.2">
      <c r="A41" s="148" t="s">
        <v>516</v>
      </c>
      <c r="B41" s="149" t="s">
        <v>517</v>
      </c>
    </row>
    <row r="42" spans="1:2" x14ac:dyDescent="0.2">
      <c r="A42" s="148" t="s">
        <v>518</v>
      </c>
      <c r="B42" s="149" t="s">
        <v>519</v>
      </c>
    </row>
    <row r="43" spans="1:2" x14ac:dyDescent="0.2">
      <c r="A43" s="148" t="s">
        <v>520</v>
      </c>
      <c r="B43" s="149" t="s">
        <v>521</v>
      </c>
    </row>
    <row r="44" spans="1:2" x14ac:dyDescent="0.2">
      <c r="A44" s="148" t="s">
        <v>522</v>
      </c>
      <c r="B44" s="149" t="s">
        <v>523</v>
      </c>
    </row>
    <row r="45" spans="1:2" x14ac:dyDescent="0.2">
      <c r="A45" s="148" t="s">
        <v>524</v>
      </c>
      <c r="B45" s="149" t="s">
        <v>525</v>
      </c>
    </row>
    <row r="46" spans="1:2" x14ac:dyDescent="0.2">
      <c r="A46" s="148" t="s">
        <v>526</v>
      </c>
      <c r="B46" s="149" t="s">
        <v>527</v>
      </c>
    </row>
    <row r="47" spans="1:2" x14ac:dyDescent="0.2">
      <c r="A47" s="148" t="s">
        <v>528</v>
      </c>
      <c r="B47" s="149" t="s">
        <v>529</v>
      </c>
    </row>
    <row r="48" spans="1:2" x14ac:dyDescent="0.2">
      <c r="A48" s="148" t="s">
        <v>530</v>
      </c>
      <c r="B48" s="149" t="s">
        <v>531</v>
      </c>
    </row>
    <row r="49" spans="1:2" x14ac:dyDescent="0.2">
      <c r="A49" s="148" t="s">
        <v>532</v>
      </c>
      <c r="B49" s="149" t="s">
        <v>533</v>
      </c>
    </row>
    <row r="50" spans="1:2" x14ac:dyDescent="0.2">
      <c r="A50" s="148" t="s">
        <v>534</v>
      </c>
      <c r="B50" s="149" t="s">
        <v>535</v>
      </c>
    </row>
    <row r="51" spans="1:2" x14ac:dyDescent="0.2">
      <c r="A51" s="148" t="s">
        <v>536</v>
      </c>
      <c r="B51" s="149" t="s">
        <v>537</v>
      </c>
    </row>
    <row r="52" spans="1:2" x14ac:dyDescent="0.2">
      <c r="A52" s="148" t="s">
        <v>538</v>
      </c>
      <c r="B52" s="149" t="s">
        <v>539</v>
      </c>
    </row>
    <row r="53" spans="1:2" x14ac:dyDescent="0.2">
      <c r="A53" s="148" t="s">
        <v>540</v>
      </c>
      <c r="B53" s="149" t="s">
        <v>541</v>
      </c>
    </row>
    <row r="54" spans="1:2" x14ac:dyDescent="0.2">
      <c r="A54" s="148" t="s">
        <v>542</v>
      </c>
      <c r="B54" s="149" t="s">
        <v>543</v>
      </c>
    </row>
    <row r="55" spans="1:2" x14ac:dyDescent="0.2">
      <c r="A55" s="148" t="s">
        <v>544</v>
      </c>
      <c r="B55" s="149" t="s">
        <v>545</v>
      </c>
    </row>
    <row r="56" spans="1:2" x14ac:dyDescent="0.2">
      <c r="A56" s="148" t="s">
        <v>546</v>
      </c>
      <c r="B56" s="149" t="s">
        <v>547</v>
      </c>
    </row>
    <row r="57" spans="1:2" x14ac:dyDescent="0.2">
      <c r="A57" s="148" t="s">
        <v>548</v>
      </c>
      <c r="B57" s="149" t="s">
        <v>549</v>
      </c>
    </row>
    <row r="58" spans="1:2" x14ac:dyDescent="0.2">
      <c r="A58" s="148" t="s">
        <v>550</v>
      </c>
      <c r="B58" s="149" t="s">
        <v>551</v>
      </c>
    </row>
    <row r="59" spans="1:2" x14ac:dyDescent="0.2">
      <c r="A59" s="148" t="s">
        <v>552</v>
      </c>
      <c r="B59" s="149" t="s">
        <v>553</v>
      </c>
    </row>
    <row r="60" spans="1:2" x14ac:dyDescent="0.2">
      <c r="A60" s="148" t="s">
        <v>554</v>
      </c>
      <c r="B60" s="149" t="s">
        <v>555</v>
      </c>
    </row>
    <row r="61" spans="1:2" x14ac:dyDescent="0.2">
      <c r="A61" s="148" t="s">
        <v>544</v>
      </c>
      <c r="B61" s="149" t="s">
        <v>556</v>
      </c>
    </row>
    <row r="62" spans="1:2" x14ac:dyDescent="0.2">
      <c r="A62" s="148" t="s">
        <v>557</v>
      </c>
      <c r="B62" s="149" t="s">
        <v>558</v>
      </c>
    </row>
    <row r="63" spans="1:2" x14ac:dyDescent="0.2">
      <c r="A63" s="148" t="s">
        <v>559</v>
      </c>
      <c r="B63" s="149" t="s">
        <v>560</v>
      </c>
    </row>
    <row r="64" spans="1:2" x14ac:dyDescent="0.2">
      <c r="A64" s="148" t="s">
        <v>561</v>
      </c>
      <c r="B64" s="149" t="s">
        <v>562</v>
      </c>
    </row>
    <row r="65" spans="1:2" x14ac:dyDescent="0.2">
      <c r="A65" s="148" t="s">
        <v>563</v>
      </c>
      <c r="B65" s="149" t="s">
        <v>564</v>
      </c>
    </row>
    <row r="66" spans="1:2" x14ac:dyDescent="0.2">
      <c r="A66" s="148" t="s">
        <v>565</v>
      </c>
      <c r="B66" s="149" t="s">
        <v>564</v>
      </c>
    </row>
    <row r="67" spans="1:2" x14ac:dyDescent="0.2">
      <c r="A67" s="148" t="s">
        <v>566</v>
      </c>
      <c r="B67" s="149" t="s">
        <v>564</v>
      </c>
    </row>
    <row r="68" spans="1:2" x14ac:dyDescent="0.2">
      <c r="A68" s="148" t="s">
        <v>567</v>
      </c>
      <c r="B68" s="149" t="s">
        <v>564</v>
      </c>
    </row>
    <row r="69" spans="1:2" x14ac:dyDescent="0.2">
      <c r="A69" s="148" t="s">
        <v>568</v>
      </c>
      <c r="B69" s="149" t="s">
        <v>564</v>
      </c>
    </row>
    <row r="70" spans="1:2" x14ac:dyDescent="0.2">
      <c r="A70" s="148" t="s">
        <v>569</v>
      </c>
      <c r="B70" s="149" t="s">
        <v>564</v>
      </c>
    </row>
    <row r="71" spans="1:2" x14ac:dyDescent="0.2">
      <c r="A71" s="148" t="s">
        <v>570</v>
      </c>
      <c r="B71" s="149" t="s">
        <v>564</v>
      </c>
    </row>
    <row r="72" spans="1:2" x14ac:dyDescent="0.2">
      <c r="A72" s="148" t="s">
        <v>571</v>
      </c>
      <c r="B72" s="149" t="s">
        <v>564</v>
      </c>
    </row>
    <row r="73" spans="1:2" x14ac:dyDescent="0.2">
      <c r="A73" s="148" t="s">
        <v>572</v>
      </c>
      <c r="B73" s="149" t="s">
        <v>564</v>
      </c>
    </row>
    <row r="74" spans="1:2" x14ac:dyDescent="0.2">
      <c r="A74" s="148" t="s">
        <v>573</v>
      </c>
      <c r="B74" s="149" t="s">
        <v>564</v>
      </c>
    </row>
    <row r="75" spans="1:2" x14ac:dyDescent="0.2">
      <c r="A75" s="148" t="s">
        <v>574</v>
      </c>
      <c r="B75" s="149" t="s">
        <v>564</v>
      </c>
    </row>
    <row r="76" spans="1:2" x14ac:dyDescent="0.2">
      <c r="A76" s="148" t="s">
        <v>575</v>
      </c>
      <c r="B76" s="149" t="s">
        <v>564</v>
      </c>
    </row>
    <row r="77" spans="1:2" x14ac:dyDescent="0.2">
      <c r="A77" s="148" t="s">
        <v>576</v>
      </c>
      <c r="B77" s="149" t="s">
        <v>564</v>
      </c>
    </row>
    <row r="78" spans="1:2" x14ac:dyDescent="0.2">
      <c r="A78" s="148" t="s">
        <v>577</v>
      </c>
      <c r="B78" s="149" t="s">
        <v>564</v>
      </c>
    </row>
    <row r="79" spans="1:2" x14ac:dyDescent="0.2">
      <c r="A79" s="148" t="s">
        <v>578</v>
      </c>
      <c r="B79" s="149" t="s">
        <v>564</v>
      </c>
    </row>
    <row r="80" spans="1:2" x14ac:dyDescent="0.2">
      <c r="A80" s="148" t="s">
        <v>579</v>
      </c>
      <c r="B80" s="149" t="s">
        <v>564</v>
      </c>
    </row>
    <row r="81" spans="1:2" x14ac:dyDescent="0.2">
      <c r="A81" s="148" t="s">
        <v>580</v>
      </c>
      <c r="B81" s="149" t="s">
        <v>564</v>
      </c>
    </row>
    <row r="82" spans="1:2" x14ac:dyDescent="0.2">
      <c r="A82" s="148" t="s">
        <v>581</v>
      </c>
      <c r="B82" s="149" t="s">
        <v>564</v>
      </c>
    </row>
    <row r="83" spans="1:2" x14ac:dyDescent="0.2">
      <c r="A83" s="148" t="s">
        <v>582</v>
      </c>
      <c r="B83" s="149" t="s">
        <v>564</v>
      </c>
    </row>
    <row r="84" spans="1:2" x14ac:dyDescent="0.2">
      <c r="A84" s="148" t="s">
        <v>583</v>
      </c>
      <c r="B84" s="149" t="s">
        <v>564</v>
      </c>
    </row>
    <row r="85" spans="1:2" x14ac:dyDescent="0.2">
      <c r="A85" s="148" t="s">
        <v>584</v>
      </c>
      <c r="B85" s="149" t="s">
        <v>564</v>
      </c>
    </row>
    <row r="86" spans="1:2" x14ac:dyDescent="0.2">
      <c r="A86" s="148" t="s">
        <v>585</v>
      </c>
      <c r="B86" s="149" t="s">
        <v>564</v>
      </c>
    </row>
    <row r="87" spans="1:2" x14ac:dyDescent="0.2">
      <c r="A87" s="148" t="s">
        <v>586</v>
      </c>
      <c r="B87" s="149" t="s">
        <v>564</v>
      </c>
    </row>
    <row r="88" spans="1:2" x14ac:dyDescent="0.2">
      <c r="A88" s="148" t="s">
        <v>587</v>
      </c>
      <c r="B88" s="149" t="s">
        <v>564</v>
      </c>
    </row>
    <row r="89" spans="1:2" x14ac:dyDescent="0.2">
      <c r="A89" s="148" t="s">
        <v>588</v>
      </c>
      <c r="B89" s="149" t="s">
        <v>564</v>
      </c>
    </row>
    <row r="90" spans="1:2" x14ac:dyDescent="0.2">
      <c r="A90" s="148" t="s">
        <v>589</v>
      </c>
      <c r="B90" s="149" t="s">
        <v>564</v>
      </c>
    </row>
    <row r="91" spans="1:2" x14ac:dyDescent="0.2">
      <c r="A91" s="148" t="s">
        <v>590</v>
      </c>
      <c r="B91" s="149" t="s">
        <v>564</v>
      </c>
    </row>
    <row r="92" spans="1:2" x14ac:dyDescent="0.2">
      <c r="A92" s="148" t="s">
        <v>591</v>
      </c>
      <c r="B92" s="149" t="s">
        <v>564</v>
      </c>
    </row>
    <row r="93" spans="1:2" x14ac:dyDescent="0.2">
      <c r="A93" s="148" t="s">
        <v>592</v>
      </c>
      <c r="B93" s="149" t="s">
        <v>564</v>
      </c>
    </row>
    <row r="94" spans="1:2" x14ac:dyDescent="0.2">
      <c r="A94" s="148" t="s">
        <v>593</v>
      </c>
      <c r="B94" s="149" t="s">
        <v>564</v>
      </c>
    </row>
    <row r="95" spans="1:2" x14ac:dyDescent="0.2">
      <c r="A95" s="148" t="s">
        <v>594</v>
      </c>
      <c r="B95" s="149" t="s">
        <v>564</v>
      </c>
    </row>
    <row r="96" spans="1:2" x14ac:dyDescent="0.2">
      <c r="A96" s="148" t="s">
        <v>595</v>
      </c>
      <c r="B96" s="149" t="s">
        <v>564</v>
      </c>
    </row>
    <row r="97" spans="1:2" x14ac:dyDescent="0.2">
      <c r="A97" s="148" t="s">
        <v>596</v>
      </c>
      <c r="B97" s="149" t="s">
        <v>564</v>
      </c>
    </row>
    <row r="98" spans="1:2" x14ac:dyDescent="0.2">
      <c r="A98" s="148" t="s">
        <v>597</v>
      </c>
      <c r="B98" s="149" t="s">
        <v>564</v>
      </c>
    </row>
    <row r="99" spans="1:2" x14ac:dyDescent="0.2">
      <c r="A99" s="148" t="s">
        <v>598</v>
      </c>
      <c r="B99" s="149" t="s">
        <v>564</v>
      </c>
    </row>
    <row r="100" spans="1:2" x14ac:dyDescent="0.2">
      <c r="A100" s="148" t="s">
        <v>599</v>
      </c>
      <c r="B100" s="149" t="s">
        <v>564</v>
      </c>
    </row>
    <row r="101" spans="1:2" x14ac:dyDescent="0.2">
      <c r="A101" s="148" t="s">
        <v>600</v>
      </c>
      <c r="B101" s="149" t="s">
        <v>564</v>
      </c>
    </row>
    <row r="102" spans="1:2" x14ac:dyDescent="0.2">
      <c r="A102" s="148" t="s">
        <v>601</v>
      </c>
      <c r="B102" s="149" t="s">
        <v>564</v>
      </c>
    </row>
    <row r="103" spans="1:2" x14ac:dyDescent="0.2">
      <c r="A103" s="148" t="s">
        <v>602</v>
      </c>
      <c r="B103" s="149" t="s">
        <v>564</v>
      </c>
    </row>
    <row r="104" spans="1:2" x14ac:dyDescent="0.2">
      <c r="A104" s="148" t="s">
        <v>603</v>
      </c>
      <c r="B104" s="149" t="s">
        <v>564</v>
      </c>
    </row>
    <row r="105" spans="1:2" x14ac:dyDescent="0.2">
      <c r="A105" s="148" t="s">
        <v>604</v>
      </c>
      <c r="B105" s="149" t="s">
        <v>564</v>
      </c>
    </row>
    <row r="106" spans="1:2" x14ac:dyDescent="0.2">
      <c r="A106" s="148" t="s">
        <v>605</v>
      </c>
      <c r="B106" s="149" t="s">
        <v>564</v>
      </c>
    </row>
    <row r="107" spans="1:2" x14ac:dyDescent="0.2">
      <c r="A107" s="148" t="s">
        <v>606</v>
      </c>
      <c r="B107" s="149" t="s">
        <v>564</v>
      </c>
    </row>
    <row r="108" spans="1:2" x14ac:dyDescent="0.2">
      <c r="A108" s="148" t="s">
        <v>607</v>
      </c>
      <c r="B108" s="149" t="s">
        <v>564</v>
      </c>
    </row>
    <row r="109" spans="1:2" x14ac:dyDescent="0.2">
      <c r="A109" s="148" t="s">
        <v>608</v>
      </c>
      <c r="B109" s="149" t="s">
        <v>564</v>
      </c>
    </row>
    <row r="110" spans="1:2" x14ac:dyDescent="0.2">
      <c r="A110" s="148" t="s">
        <v>609</v>
      </c>
      <c r="B110" s="149" t="s">
        <v>564</v>
      </c>
    </row>
    <row r="111" spans="1:2" x14ac:dyDescent="0.2">
      <c r="A111" s="148" t="s">
        <v>610</v>
      </c>
      <c r="B111" s="149" t="s">
        <v>564</v>
      </c>
    </row>
    <row r="112" spans="1:2" x14ac:dyDescent="0.2">
      <c r="A112" s="148" t="s">
        <v>611</v>
      </c>
      <c r="B112" s="149" t="s">
        <v>564</v>
      </c>
    </row>
    <row r="113" spans="1:2" x14ac:dyDescent="0.2">
      <c r="A113" s="148" t="s">
        <v>612</v>
      </c>
      <c r="B113" s="149" t="s">
        <v>564</v>
      </c>
    </row>
    <row r="114" spans="1:2" x14ac:dyDescent="0.2">
      <c r="A114" s="148" t="s">
        <v>613</v>
      </c>
      <c r="B114" s="149" t="s">
        <v>564</v>
      </c>
    </row>
    <row r="115" spans="1:2" x14ac:dyDescent="0.2">
      <c r="A115" s="148" t="s">
        <v>614</v>
      </c>
      <c r="B115" s="149" t="s">
        <v>564</v>
      </c>
    </row>
    <row r="116" spans="1:2" x14ac:dyDescent="0.2">
      <c r="A116" s="148" t="s">
        <v>615</v>
      </c>
      <c r="B116" s="149" t="s">
        <v>564</v>
      </c>
    </row>
    <row r="117" spans="1:2" x14ac:dyDescent="0.2">
      <c r="A117" s="148" t="s">
        <v>616</v>
      </c>
      <c r="B117" s="149" t="s">
        <v>564</v>
      </c>
    </row>
    <row r="118" spans="1:2" x14ac:dyDescent="0.2">
      <c r="A118" s="148" t="s">
        <v>617</v>
      </c>
      <c r="B118" s="149" t="s">
        <v>564</v>
      </c>
    </row>
    <row r="119" spans="1:2" x14ac:dyDescent="0.2">
      <c r="A119" s="148" t="s">
        <v>618</v>
      </c>
      <c r="B119" s="149" t="s">
        <v>564</v>
      </c>
    </row>
    <row r="120" spans="1:2" x14ac:dyDescent="0.2">
      <c r="A120" s="148" t="s">
        <v>619</v>
      </c>
      <c r="B120" s="149" t="s">
        <v>564</v>
      </c>
    </row>
    <row r="121" spans="1:2" x14ac:dyDescent="0.2">
      <c r="A121" s="148" t="s">
        <v>620</v>
      </c>
      <c r="B121" s="149" t="s">
        <v>564</v>
      </c>
    </row>
    <row r="122" spans="1:2" x14ac:dyDescent="0.2">
      <c r="A122" s="148" t="s">
        <v>621</v>
      </c>
      <c r="B122" s="149" t="s">
        <v>564</v>
      </c>
    </row>
    <row r="123" spans="1:2" x14ac:dyDescent="0.2">
      <c r="A123" s="148" t="s">
        <v>622</v>
      </c>
      <c r="B123" s="149" t="s">
        <v>564</v>
      </c>
    </row>
    <row r="124" spans="1:2" x14ac:dyDescent="0.2">
      <c r="A124" s="148" t="s">
        <v>623</v>
      </c>
      <c r="B124" s="149" t="s">
        <v>564</v>
      </c>
    </row>
    <row r="125" spans="1:2" x14ac:dyDescent="0.2">
      <c r="A125" s="148" t="s">
        <v>624</v>
      </c>
      <c r="B125" s="149" t="s">
        <v>564</v>
      </c>
    </row>
    <row r="126" spans="1:2" x14ac:dyDescent="0.2">
      <c r="A126" s="148" t="s">
        <v>625</v>
      </c>
      <c r="B126" s="149" t="s">
        <v>564</v>
      </c>
    </row>
    <row r="127" spans="1:2" x14ac:dyDescent="0.2">
      <c r="A127" s="148" t="s">
        <v>626</v>
      </c>
      <c r="B127" s="149" t="s">
        <v>564</v>
      </c>
    </row>
    <row r="128" spans="1:2" x14ac:dyDescent="0.2">
      <c r="A128" s="148" t="s">
        <v>627</v>
      </c>
      <c r="B128" s="149" t="s">
        <v>564</v>
      </c>
    </row>
    <row r="129" spans="1:2" x14ac:dyDescent="0.2">
      <c r="A129" s="148" t="s">
        <v>628</v>
      </c>
      <c r="B129" s="149" t="s">
        <v>564</v>
      </c>
    </row>
    <row r="130" spans="1:2" x14ac:dyDescent="0.2">
      <c r="A130" s="148" t="s">
        <v>629</v>
      </c>
      <c r="B130" s="149" t="s">
        <v>564</v>
      </c>
    </row>
    <row r="131" spans="1:2" x14ac:dyDescent="0.2">
      <c r="A131" s="148" t="s">
        <v>630</v>
      </c>
      <c r="B131" s="149" t="s">
        <v>564</v>
      </c>
    </row>
    <row r="132" spans="1:2" x14ac:dyDescent="0.2">
      <c r="A132" s="148" t="s">
        <v>631</v>
      </c>
      <c r="B132" s="149" t="s">
        <v>564</v>
      </c>
    </row>
    <row r="133" spans="1:2" x14ac:dyDescent="0.2">
      <c r="A133" s="148" t="s">
        <v>632</v>
      </c>
      <c r="B133" s="149" t="s">
        <v>564</v>
      </c>
    </row>
    <row r="134" spans="1:2" x14ac:dyDescent="0.2">
      <c r="A134" s="148" t="s">
        <v>633</v>
      </c>
      <c r="B134" s="149" t="s">
        <v>564</v>
      </c>
    </row>
    <row r="135" spans="1:2" x14ac:dyDescent="0.2">
      <c r="A135" s="148" t="s">
        <v>634</v>
      </c>
      <c r="B135" s="149" t="s">
        <v>564</v>
      </c>
    </row>
    <row r="136" spans="1:2" x14ac:dyDescent="0.2">
      <c r="A136" s="148" t="s">
        <v>635</v>
      </c>
      <c r="B136" s="149" t="s">
        <v>564</v>
      </c>
    </row>
    <row r="137" spans="1:2" x14ac:dyDescent="0.2">
      <c r="A137" s="148" t="s">
        <v>636</v>
      </c>
      <c r="B137" s="149" t="s">
        <v>564</v>
      </c>
    </row>
    <row r="138" spans="1:2" x14ac:dyDescent="0.2">
      <c r="A138" s="148" t="s">
        <v>637</v>
      </c>
      <c r="B138" s="149" t="s">
        <v>564</v>
      </c>
    </row>
    <row r="139" spans="1:2" x14ac:dyDescent="0.2">
      <c r="A139" s="148" t="s">
        <v>638</v>
      </c>
      <c r="B139" s="149" t="s">
        <v>564</v>
      </c>
    </row>
    <row r="140" spans="1:2" x14ac:dyDescent="0.2">
      <c r="A140" s="148" t="s">
        <v>639</v>
      </c>
      <c r="B140" s="149" t="s">
        <v>564</v>
      </c>
    </row>
    <row r="141" spans="1:2" x14ac:dyDescent="0.2">
      <c r="A141" s="148" t="s">
        <v>640</v>
      </c>
      <c r="B141" s="149" t="s">
        <v>564</v>
      </c>
    </row>
    <row r="142" spans="1:2" x14ac:dyDescent="0.2">
      <c r="A142" s="148" t="s">
        <v>641</v>
      </c>
      <c r="B142" s="149" t="s">
        <v>564</v>
      </c>
    </row>
    <row r="143" spans="1:2" x14ac:dyDescent="0.2">
      <c r="A143" s="148" t="s">
        <v>642</v>
      </c>
      <c r="B143" s="149" t="s">
        <v>564</v>
      </c>
    </row>
    <row r="144" spans="1:2" x14ac:dyDescent="0.2">
      <c r="A144" s="148" t="s">
        <v>643</v>
      </c>
      <c r="B144" s="149" t="s">
        <v>564</v>
      </c>
    </row>
    <row r="145" spans="1:2" x14ac:dyDescent="0.2">
      <c r="A145" s="148" t="s">
        <v>644</v>
      </c>
      <c r="B145" s="149" t="s">
        <v>564</v>
      </c>
    </row>
    <row r="146" spans="1:2" x14ac:dyDescent="0.2">
      <c r="A146" s="148" t="s">
        <v>645</v>
      </c>
      <c r="B146" s="149" t="s">
        <v>564</v>
      </c>
    </row>
    <row r="147" spans="1:2" x14ac:dyDescent="0.2">
      <c r="A147" s="148" t="s">
        <v>646</v>
      </c>
      <c r="B147" s="149" t="s">
        <v>564</v>
      </c>
    </row>
    <row r="148" spans="1:2" x14ac:dyDescent="0.2">
      <c r="A148" s="148" t="s">
        <v>647</v>
      </c>
      <c r="B148" s="149" t="s">
        <v>564</v>
      </c>
    </row>
    <row r="149" spans="1:2" x14ac:dyDescent="0.2">
      <c r="A149" s="148" t="s">
        <v>648</v>
      </c>
      <c r="B149" s="149" t="s">
        <v>564</v>
      </c>
    </row>
    <row r="150" spans="1:2" x14ac:dyDescent="0.2">
      <c r="A150" s="148" t="s">
        <v>649</v>
      </c>
      <c r="B150" s="149" t="s">
        <v>564</v>
      </c>
    </row>
    <row r="151" spans="1:2" x14ac:dyDescent="0.2">
      <c r="A151" s="148" t="s">
        <v>650</v>
      </c>
      <c r="B151" s="149" t="s">
        <v>564</v>
      </c>
    </row>
    <row r="152" spans="1:2" x14ac:dyDescent="0.2">
      <c r="A152" s="148" t="s">
        <v>651</v>
      </c>
      <c r="B152" s="149" t="s">
        <v>564</v>
      </c>
    </row>
    <row r="153" spans="1:2" x14ac:dyDescent="0.2">
      <c r="A153" s="148" t="s">
        <v>652</v>
      </c>
      <c r="B153" s="149" t="s">
        <v>564</v>
      </c>
    </row>
    <row r="154" spans="1:2" x14ac:dyDescent="0.2">
      <c r="A154" s="148" t="s">
        <v>653</v>
      </c>
      <c r="B154" s="149" t="s">
        <v>564</v>
      </c>
    </row>
    <row r="155" spans="1:2" x14ac:dyDescent="0.2">
      <c r="A155" s="148" t="s">
        <v>654</v>
      </c>
      <c r="B155" s="149" t="s">
        <v>564</v>
      </c>
    </row>
    <row r="156" spans="1:2" x14ac:dyDescent="0.2">
      <c r="A156" s="148" t="s">
        <v>655</v>
      </c>
      <c r="B156" s="149" t="s">
        <v>564</v>
      </c>
    </row>
    <row r="157" spans="1:2" x14ac:dyDescent="0.2">
      <c r="A157" s="148" t="s">
        <v>656</v>
      </c>
      <c r="B157" s="149" t="s">
        <v>564</v>
      </c>
    </row>
    <row r="158" spans="1:2" x14ac:dyDescent="0.2">
      <c r="A158" s="148" t="s">
        <v>657</v>
      </c>
      <c r="B158" s="149" t="s">
        <v>564</v>
      </c>
    </row>
    <row r="159" spans="1:2" x14ac:dyDescent="0.2">
      <c r="A159" s="148" t="s">
        <v>658</v>
      </c>
      <c r="B159" s="149" t="s">
        <v>564</v>
      </c>
    </row>
    <row r="160" spans="1:2" x14ac:dyDescent="0.2">
      <c r="A160" s="148" t="s">
        <v>659</v>
      </c>
      <c r="B160" s="149" t="s">
        <v>564</v>
      </c>
    </row>
    <row r="161" spans="1:2" x14ac:dyDescent="0.2">
      <c r="A161" s="148" t="s">
        <v>660</v>
      </c>
      <c r="B161" s="149" t="s">
        <v>564</v>
      </c>
    </row>
    <row r="162" spans="1:2" x14ac:dyDescent="0.2">
      <c r="A162" s="148" t="s">
        <v>661</v>
      </c>
      <c r="B162" s="149" t="s">
        <v>564</v>
      </c>
    </row>
    <row r="163" spans="1:2" x14ac:dyDescent="0.2">
      <c r="A163" s="148" t="s">
        <v>662</v>
      </c>
      <c r="B163" s="149" t="s">
        <v>564</v>
      </c>
    </row>
    <row r="164" spans="1:2" x14ac:dyDescent="0.2">
      <c r="A164" s="148" t="s">
        <v>663</v>
      </c>
      <c r="B164" s="149" t="s">
        <v>564</v>
      </c>
    </row>
    <row r="165" spans="1:2" x14ac:dyDescent="0.2">
      <c r="A165" s="148" t="s">
        <v>664</v>
      </c>
      <c r="B165" s="149" t="s">
        <v>564</v>
      </c>
    </row>
    <row r="166" spans="1:2" x14ac:dyDescent="0.2">
      <c r="A166" s="148" t="s">
        <v>665</v>
      </c>
      <c r="B166" s="149" t="s">
        <v>564</v>
      </c>
    </row>
    <row r="167" spans="1:2" x14ac:dyDescent="0.2">
      <c r="A167" s="148" t="s">
        <v>666</v>
      </c>
      <c r="B167" s="149" t="s">
        <v>564</v>
      </c>
    </row>
    <row r="168" spans="1:2" x14ac:dyDescent="0.2">
      <c r="A168" s="148" t="s">
        <v>667</v>
      </c>
      <c r="B168" s="149" t="s">
        <v>564</v>
      </c>
    </row>
    <row r="169" spans="1:2" x14ac:dyDescent="0.2">
      <c r="A169" s="148" t="s">
        <v>668</v>
      </c>
      <c r="B169" s="149" t="s">
        <v>564</v>
      </c>
    </row>
    <row r="170" spans="1:2" x14ac:dyDescent="0.2">
      <c r="A170" s="148" t="s">
        <v>669</v>
      </c>
      <c r="B170" s="149" t="s">
        <v>564</v>
      </c>
    </row>
    <row r="171" spans="1:2" x14ac:dyDescent="0.2">
      <c r="A171" s="148" t="s">
        <v>670</v>
      </c>
      <c r="B171" s="149" t="s">
        <v>564</v>
      </c>
    </row>
    <row r="172" spans="1:2" x14ac:dyDescent="0.2">
      <c r="A172" s="148" t="s">
        <v>671</v>
      </c>
      <c r="B172" s="149" t="s">
        <v>564</v>
      </c>
    </row>
    <row r="173" spans="1:2" x14ac:dyDescent="0.2">
      <c r="A173" s="148" t="s">
        <v>672</v>
      </c>
      <c r="B173" s="149" t="s">
        <v>564</v>
      </c>
    </row>
    <row r="174" spans="1:2" x14ac:dyDescent="0.2">
      <c r="A174" s="148" t="s">
        <v>673</v>
      </c>
      <c r="B174" s="149" t="s">
        <v>564</v>
      </c>
    </row>
    <row r="175" spans="1:2" x14ac:dyDescent="0.2">
      <c r="A175" s="148" t="s">
        <v>674</v>
      </c>
      <c r="B175" s="149" t="s">
        <v>564</v>
      </c>
    </row>
    <row r="176" spans="1:2" x14ac:dyDescent="0.2">
      <c r="A176" s="148" t="s">
        <v>675</v>
      </c>
      <c r="B176" s="149" t="s">
        <v>564</v>
      </c>
    </row>
    <row r="177" spans="1:2" x14ac:dyDescent="0.2">
      <c r="A177" s="148" t="s">
        <v>676</v>
      </c>
      <c r="B177" s="149" t="s">
        <v>564</v>
      </c>
    </row>
    <row r="178" spans="1:2" x14ac:dyDescent="0.2">
      <c r="A178" s="148" t="s">
        <v>677</v>
      </c>
      <c r="B178" s="149" t="s">
        <v>564</v>
      </c>
    </row>
    <row r="179" spans="1:2" x14ac:dyDescent="0.2">
      <c r="A179" s="148" t="s">
        <v>678</v>
      </c>
      <c r="B179" s="149" t="s">
        <v>564</v>
      </c>
    </row>
    <row r="180" spans="1:2" x14ac:dyDescent="0.2">
      <c r="A180" s="148" t="s">
        <v>679</v>
      </c>
      <c r="B180" s="149" t="s">
        <v>564</v>
      </c>
    </row>
    <row r="181" spans="1:2" x14ac:dyDescent="0.2">
      <c r="A181" s="148" t="s">
        <v>680</v>
      </c>
      <c r="B181" s="149" t="s">
        <v>564</v>
      </c>
    </row>
    <row r="182" spans="1:2" x14ac:dyDescent="0.2">
      <c r="A182" s="148" t="s">
        <v>681</v>
      </c>
      <c r="B182" s="149" t="s">
        <v>564</v>
      </c>
    </row>
    <row r="183" spans="1:2" x14ac:dyDescent="0.2">
      <c r="A183" s="148" t="s">
        <v>682</v>
      </c>
      <c r="B183" s="149" t="s">
        <v>564</v>
      </c>
    </row>
    <row r="184" spans="1:2" x14ac:dyDescent="0.2">
      <c r="A184" s="148" t="s">
        <v>683</v>
      </c>
      <c r="B184" s="149" t="s">
        <v>564</v>
      </c>
    </row>
    <row r="185" spans="1:2" x14ac:dyDescent="0.2">
      <c r="A185" s="148" t="s">
        <v>684</v>
      </c>
      <c r="B185" s="149" t="s">
        <v>564</v>
      </c>
    </row>
    <row r="186" spans="1:2" x14ac:dyDescent="0.2">
      <c r="A186" s="148" t="s">
        <v>685</v>
      </c>
      <c r="B186" s="149" t="s">
        <v>564</v>
      </c>
    </row>
    <row r="187" spans="1:2" x14ac:dyDescent="0.2">
      <c r="A187" s="148" t="s">
        <v>686</v>
      </c>
      <c r="B187" s="149" t="s">
        <v>564</v>
      </c>
    </row>
    <row r="188" spans="1:2" x14ac:dyDescent="0.2">
      <c r="A188" s="148" t="s">
        <v>687</v>
      </c>
      <c r="B188" s="149" t="s">
        <v>564</v>
      </c>
    </row>
    <row r="189" spans="1:2" x14ac:dyDescent="0.2">
      <c r="A189" s="148" t="s">
        <v>688</v>
      </c>
      <c r="B189" s="149" t="s">
        <v>564</v>
      </c>
    </row>
    <row r="190" spans="1:2" x14ac:dyDescent="0.2">
      <c r="A190" s="148" t="s">
        <v>689</v>
      </c>
      <c r="B190" s="149" t="s">
        <v>564</v>
      </c>
    </row>
    <row r="191" spans="1:2" x14ac:dyDescent="0.2">
      <c r="A191" s="148" t="s">
        <v>690</v>
      </c>
      <c r="B191" s="149" t="s">
        <v>564</v>
      </c>
    </row>
    <row r="192" spans="1:2" x14ac:dyDescent="0.2">
      <c r="A192" s="148" t="s">
        <v>691</v>
      </c>
      <c r="B192" s="149" t="s">
        <v>564</v>
      </c>
    </row>
    <row r="193" spans="1:2" x14ac:dyDescent="0.2">
      <c r="A193" s="148" t="s">
        <v>692</v>
      </c>
      <c r="B193" s="149" t="s">
        <v>564</v>
      </c>
    </row>
    <row r="194" spans="1:2" x14ac:dyDescent="0.2">
      <c r="A194" s="148" t="s">
        <v>693</v>
      </c>
      <c r="B194" s="149" t="s">
        <v>564</v>
      </c>
    </row>
    <row r="195" spans="1:2" x14ac:dyDescent="0.2">
      <c r="A195" s="148" t="s">
        <v>694</v>
      </c>
      <c r="B195" s="149" t="s">
        <v>564</v>
      </c>
    </row>
    <row r="196" spans="1:2" x14ac:dyDescent="0.2">
      <c r="A196" s="148" t="s">
        <v>695</v>
      </c>
      <c r="B196" s="149" t="s">
        <v>564</v>
      </c>
    </row>
    <row r="197" spans="1:2" x14ac:dyDescent="0.2">
      <c r="A197" s="148" t="s">
        <v>696</v>
      </c>
      <c r="B197" s="149" t="s">
        <v>564</v>
      </c>
    </row>
    <row r="198" spans="1:2" x14ac:dyDescent="0.2">
      <c r="A198" s="148" t="s">
        <v>697</v>
      </c>
      <c r="B198" s="149" t="s">
        <v>564</v>
      </c>
    </row>
    <row r="199" spans="1:2" x14ac:dyDescent="0.2">
      <c r="A199" s="148" t="s">
        <v>698</v>
      </c>
      <c r="B199" s="149" t="s">
        <v>564</v>
      </c>
    </row>
    <row r="200" spans="1:2" x14ac:dyDescent="0.2">
      <c r="A200" s="148" t="s">
        <v>699</v>
      </c>
      <c r="B200" s="149" t="s">
        <v>564</v>
      </c>
    </row>
    <row r="201" spans="1:2" x14ac:dyDescent="0.2">
      <c r="A201" s="148" t="s">
        <v>700</v>
      </c>
      <c r="B201" s="149" t="s">
        <v>564</v>
      </c>
    </row>
    <row r="202" spans="1:2" x14ac:dyDescent="0.2">
      <c r="A202" s="148" t="s">
        <v>701</v>
      </c>
      <c r="B202" s="149" t="s">
        <v>564</v>
      </c>
    </row>
    <row r="203" spans="1:2" x14ac:dyDescent="0.2">
      <c r="A203" s="148" t="s">
        <v>702</v>
      </c>
      <c r="B203" s="149" t="s">
        <v>564</v>
      </c>
    </row>
    <row r="204" spans="1:2" x14ac:dyDescent="0.2">
      <c r="A204" s="148" t="s">
        <v>703</v>
      </c>
      <c r="B204" s="149" t="s">
        <v>564</v>
      </c>
    </row>
    <row r="205" spans="1:2" x14ac:dyDescent="0.2">
      <c r="A205" s="148" t="s">
        <v>704</v>
      </c>
      <c r="B205" s="149" t="s">
        <v>564</v>
      </c>
    </row>
    <row r="206" spans="1:2" x14ac:dyDescent="0.2">
      <c r="A206" s="148" t="s">
        <v>705</v>
      </c>
      <c r="B206" s="149" t="s">
        <v>564</v>
      </c>
    </row>
    <row r="207" spans="1:2" x14ac:dyDescent="0.2">
      <c r="A207" s="148" t="s">
        <v>706</v>
      </c>
      <c r="B207" s="149" t="s">
        <v>564</v>
      </c>
    </row>
    <row r="208" spans="1:2" x14ac:dyDescent="0.2">
      <c r="A208" s="148" t="s">
        <v>707</v>
      </c>
      <c r="B208" s="149" t="s">
        <v>564</v>
      </c>
    </row>
    <row r="209" spans="1:2" x14ac:dyDescent="0.2">
      <c r="A209" s="148" t="s">
        <v>708</v>
      </c>
      <c r="B209" s="149" t="s">
        <v>564</v>
      </c>
    </row>
    <row r="210" spans="1:2" x14ac:dyDescent="0.2">
      <c r="A210" s="148" t="s">
        <v>709</v>
      </c>
      <c r="B210" s="149" t="s">
        <v>564</v>
      </c>
    </row>
    <row r="211" spans="1:2" x14ac:dyDescent="0.2">
      <c r="A211" s="148" t="s">
        <v>710</v>
      </c>
      <c r="B211" s="149" t="s">
        <v>564</v>
      </c>
    </row>
    <row r="212" spans="1:2" x14ac:dyDescent="0.2">
      <c r="A212" s="148" t="s">
        <v>711</v>
      </c>
      <c r="B212" s="149" t="s">
        <v>564</v>
      </c>
    </row>
    <row r="213" spans="1:2" x14ac:dyDescent="0.2">
      <c r="A213" s="148" t="s">
        <v>712</v>
      </c>
      <c r="B213" s="149" t="s">
        <v>564</v>
      </c>
    </row>
    <row r="214" spans="1:2" x14ac:dyDescent="0.2">
      <c r="A214" s="148" t="s">
        <v>713</v>
      </c>
      <c r="B214" s="149" t="s">
        <v>564</v>
      </c>
    </row>
    <row r="215" spans="1:2" x14ac:dyDescent="0.2">
      <c r="A215" s="148" t="s">
        <v>714</v>
      </c>
      <c r="B215" s="149" t="s">
        <v>564</v>
      </c>
    </row>
    <row r="216" spans="1:2" x14ac:dyDescent="0.2">
      <c r="A216" s="148" t="s">
        <v>715</v>
      </c>
      <c r="B216" s="149" t="s">
        <v>564</v>
      </c>
    </row>
    <row r="217" spans="1:2" x14ac:dyDescent="0.2">
      <c r="A217" s="148" t="s">
        <v>716</v>
      </c>
      <c r="B217" s="149" t="s">
        <v>564</v>
      </c>
    </row>
    <row r="218" spans="1:2" x14ac:dyDescent="0.2">
      <c r="A218" s="148" t="s">
        <v>717</v>
      </c>
      <c r="B218" s="149" t="s">
        <v>564</v>
      </c>
    </row>
    <row r="219" spans="1:2" x14ac:dyDescent="0.2">
      <c r="A219" s="148" t="s">
        <v>718</v>
      </c>
      <c r="B219" s="149" t="s">
        <v>564</v>
      </c>
    </row>
    <row r="220" spans="1:2" x14ac:dyDescent="0.2">
      <c r="A220" s="148" t="s">
        <v>719</v>
      </c>
      <c r="B220" s="149" t="s">
        <v>564</v>
      </c>
    </row>
    <row r="221" spans="1:2" x14ac:dyDescent="0.2">
      <c r="A221" s="148" t="s">
        <v>720</v>
      </c>
      <c r="B221" s="149" t="s">
        <v>564</v>
      </c>
    </row>
    <row r="222" spans="1:2" x14ac:dyDescent="0.2">
      <c r="A222" s="148" t="s">
        <v>721</v>
      </c>
      <c r="B222" s="149" t="s">
        <v>564</v>
      </c>
    </row>
    <row r="223" spans="1:2" x14ac:dyDescent="0.2">
      <c r="A223" s="148" t="s">
        <v>722</v>
      </c>
      <c r="B223" s="149" t="s">
        <v>564</v>
      </c>
    </row>
    <row r="224" spans="1:2" x14ac:dyDescent="0.2">
      <c r="A224" s="148" t="s">
        <v>723</v>
      </c>
      <c r="B224" s="149" t="s">
        <v>564</v>
      </c>
    </row>
    <row r="225" spans="1:2" x14ac:dyDescent="0.2">
      <c r="A225" s="148" t="s">
        <v>724</v>
      </c>
      <c r="B225" s="149" t="s">
        <v>564</v>
      </c>
    </row>
    <row r="226" spans="1:2" x14ac:dyDescent="0.2">
      <c r="A226" s="148" t="s">
        <v>725</v>
      </c>
      <c r="B226" s="149" t="s">
        <v>564</v>
      </c>
    </row>
    <row r="227" spans="1:2" x14ac:dyDescent="0.2">
      <c r="A227" s="148" t="s">
        <v>726</v>
      </c>
      <c r="B227" s="149" t="s">
        <v>564</v>
      </c>
    </row>
    <row r="228" spans="1:2" x14ac:dyDescent="0.2">
      <c r="A228" s="148" t="s">
        <v>727</v>
      </c>
      <c r="B228" s="149" t="s">
        <v>564</v>
      </c>
    </row>
    <row r="229" spans="1:2" x14ac:dyDescent="0.2">
      <c r="A229" s="148" t="s">
        <v>728</v>
      </c>
      <c r="B229" s="149" t="s">
        <v>564</v>
      </c>
    </row>
    <row r="230" spans="1:2" x14ac:dyDescent="0.2">
      <c r="A230" s="148" t="s">
        <v>729</v>
      </c>
      <c r="B230" s="149" t="s">
        <v>564</v>
      </c>
    </row>
    <row r="231" spans="1:2" x14ac:dyDescent="0.2">
      <c r="A231" s="148" t="s">
        <v>730</v>
      </c>
      <c r="B231" s="149" t="s">
        <v>564</v>
      </c>
    </row>
    <row r="232" spans="1:2" x14ac:dyDescent="0.2">
      <c r="A232" s="148" t="s">
        <v>731</v>
      </c>
      <c r="B232" s="149" t="s">
        <v>564</v>
      </c>
    </row>
    <row r="233" spans="1:2" x14ac:dyDescent="0.2">
      <c r="A233" s="148" t="s">
        <v>732</v>
      </c>
      <c r="B233" s="149" t="s">
        <v>564</v>
      </c>
    </row>
    <row r="234" spans="1:2" x14ac:dyDescent="0.2">
      <c r="A234" s="148" t="s">
        <v>733</v>
      </c>
      <c r="B234" s="149" t="s">
        <v>564</v>
      </c>
    </row>
    <row r="235" spans="1:2" x14ac:dyDescent="0.2">
      <c r="A235" s="148" t="s">
        <v>734</v>
      </c>
      <c r="B235" s="149" t="s">
        <v>564</v>
      </c>
    </row>
    <row r="236" spans="1:2" x14ac:dyDescent="0.2">
      <c r="A236" s="148" t="s">
        <v>735</v>
      </c>
      <c r="B236" s="149" t="s">
        <v>564</v>
      </c>
    </row>
    <row r="237" spans="1:2" x14ac:dyDescent="0.2">
      <c r="A237" s="148" t="s">
        <v>736</v>
      </c>
      <c r="B237" s="149" t="s">
        <v>564</v>
      </c>
    </row>
    <row r="238" spans="1:2" x14ac:dyDescent="0.2">
      <c r="A238" s="148" t="s">
        <v>737</v>
      </c>
      <c r="B238" s="149" t="s">
        <v>564</v>
      </c>
    </row>
    <row r="239" spans="1:2" x14ac:dyDescent="0.2">
      <c r="A239" s="148" t="s">
        <v>738</v>
      </c>
      <c r="B239" s="149" t="s">
        <v>564</v>
      </c>
    </row>
    <row r="240" spans="1:2" x14ac:dyDescent="0.2">
      <c r="A240" s="148" t="s">
        <v>739</v>
      </c>
      <c r="B240" s="149" t="s">
        <v>564</v>
      </c>
    </row>
    <row r="241" spans="1:2" x14ac:dyDescent="0.2">
      <c r="A241" s="148" t="s">
        <v>740</v>
      </c>
      <c r="B241" s="149" t="s">
        <v>564</v>
      </c>
    </row>
    <row r="242" spans="1:2" x14ac:dyDescent="0.2">
      <c r="A242" s="148" t="s">
        <v>741</v>
      </c>
      <c r="B242" s="149" t="s">
        <v>564</v>
      </c>
    </row>
    <row r="243" spans="1:2" x14ac:dyDescent="0.2">
      <c r="A243" s="148" t="s">
        <v>742</v>
      </c>
      <c r="B243" s="149" t="s">
        <v>564</v>
      </c>
    </row>
    <row r="244" spans="1:2" x14ac:dyDescent="0.2">
      <c r="A244" s="148" t="s">
        <v>743</v>
      </c>
      <c r="B244" s="149" t="s">
        <v>564</v>
      </c>
    </row>
    <row r="245" spans="1:2" x14ac:dyDescent="0.2">
      <c r="A245" s="148" t="s">
        <v>744</v>
      </c>
      <c r="B245" s="149" t="s">
        <v>564</v>
      </c>
    </row>
    <row r="246" spans="1:2" x14ac:dyDescent="0.2">
      <c r="A246" s="148" t="s">
        <v>745</v>
      </c>
      <c r="B246" s="149" t="s">
        <v>564</v>
      </c>
    </row>
    <row r="247" spans="1:2" x14ac:dyDescent="0.2">
      <c r="A247" s="148" t="s">
        <v>746</v>
      </c>
      <c r="B247" s="149" t="s">
        <v>564</v>
      </c>
    </row>
    <row r="248" spans="1:2" x14ac:dyDescent="0.2">
      <c r="A248" s="148" t="s">
        <v>747</v>
      </c>
      <c r="B248" s="149" t="s">
        <v>564</v>
      </c>
    </row>
    <row r="249" spans="1:2" x14ac:dyDescent="0.2">
      <c r="A249" s="148" t="s">
        <v>748</v>
      </c>
      <c r="B249" s="149" t="s">
        <v>564</v>
      </c>
    </row>
    <row r="250" spans="1:2" x14ac:dyDescent="0.2">
      <c r="A250" s="148" t="s">
        <v>749</v>
      </c>
      <c r="B250" s="149" t="s">
        <v>564</v>
      </c>
    </row>
    <row r="251" spans="1:2" x14ac:dyDescent="0.2">
      <c r="A251" s="148" t="s">
        <v>750</v>
      </c>
      <c r="B251" s="149" t="s">
        <v>564</v>
      </c>
    </row>
    <row r="252" spans="1:2" x14ac:dyDescent="0.2">
      <c r="A252" s="148" t="s">
        <v>751</v>
      </c>
      <c r="B252" s="149" t="s">
        <v>564</v>
      </c>
    </row>
    <row r="253" spans="1:2" x14ac:dyDescent="0.2">
      <c r="A253" s="148" t="s">
        <v>752</v>
      </c>
      <c r="B253" s="149" t="s">
        <v>564</v>
      </c>
    </row>
    <row r="254" spans="1:2" x14ac:dyDescent="0.2">
      <c r="A254" s="148" t="s">
        <v>753</v>
      </c>
      <c r="B254" s="149" t="s">
        <v>564</v>
      </c>
    </row>
    <row r="255" spans="1:2" x14ac:dyDescent="0.2">
      <c r="A255" s="148" t="s">
        <v>754</v>
      </c>
      <c r="B255" s="149" t="s">
        <v>564</v>
      </c>
    </row>
    <row r="256" spans="1:2" x14ac:dyDescent="0.2">
      <c r="A256" s="148" t="s">
        <v>755</v>
      </c>
      <c r="B256" s="149" t="s">
        <v>564</v>
      </c>
    </row>
    <row r="257" spans="1:2" x14ac:dyDescent="0.2">
      <c r="A257" s="148" t="s">
        <v>756</v>
      </c>
      <c r="B257" s="149" t="s">
        <v>564</v>
      </c>
    </row>
    <row r="258" spans="1:2" x14ac:dyDescent="0.2">
      <c r="A258" s="148" t="s">
        <v>757</v>
      </c>
      <c r="B258" s="149" t="s">
        <v>564</v>
      </c>
    </row>
    <row r="259" spans="1:2" x14ac:dyDescent="0.2">
      <c r="A259" s="148" t="s">
        <v>758</v>
      </c>
      <c r="B259" s="149" t="s">
        <v>564</v>
      </c>
    </row>
    <row r="260" spans="1:2" x14ac:dyDescent="0.2">
      <c r="A260" s="148" t="s">
        <v>759</v>
      </c>
      <c r="B260" s="149" t="s">
        <v>564</v>
      </c>
    </row>
    <row r="261" spans="1:2" x14ac:dyDescent="0.2">
      <c r="A261" s="148" t="s">
        <v>760</v>
      </c>
      <c r="B261" s="149" t="s">
        <v>564</v>
      </c>
    </row>
    <row r="262" spans="1:2" x14ac:dyDescent="0.2">
      <c r="A262" s="148" t="s">
        <v>761</v>
      </c>
      <c r="B262" s="149" t="s">
        <v>564</v>
      </c>
    </row>
    <row r="263" spans="1:2" x14ac:dyDescent="0.2">
      <c r="A263" s="148" t="s">
        <v>762</v>
      </c>
      <c r="B263" s="149" t="s">
        <v>564</v>
      </c>
    </row>
    <row r="264" spans="1:2" x14ac:dyDescent="0.2">
      <c r="A264" s="148" t="s">
        <v>763</v>
      </c>
      <c r="B264" s="149" t="s">
        <v>564</v>
      </c>
    </row>
    <row r="265" spans="1:2" x14ac:dyDescent="0.2">
      <c r="A265" s="148" t="s">
        <v>764</v>
      </c>
      <c r="B265" s="149" t="s">
        <v>564</v>
      </c>
    </row>
    <row r="266" spans="1:2" x14ac:dyDescent="0.2">
      <c r="A266" s="148" t="s">
        <v>765</v>
      </c>
      <c r="B266" s="149" t="s">
        <v>564</v>
      </c>
    </row>
    <row r="267" spans="1:2" x14ac:dyDescent="0.2">
      <c r="A267" s="148" t="s">
        <v>766</v>
      </c>
      <c r="B267" s="149" t="s">
        <v>564</v>
      </c>
    </row>
    <row r="268" spans="1:2" x14ac:dyDescent="0.2">
      <c r="A268" s="148" t="s">
        <v>767</v>
      </c>
      <c r="B268" s="149" t="s">
        <v>564</v>
      </c>
    </row>
    <row r="269" spans="1:2" x14ac:dyDescent="0.2">
      <c r="A269" s="148" t="s">
        <v>768</v>
      </c>
      <c r="B269" s="149" t="s">
        <v>564</v>
      </c>
    </row>
    <row r="270" spans="1:2" x14ac:dyDescent="0.2">
      <c r="A270" s="148" t="s">
        <v>769</v>
      </c>
      <c r="B270" s="149" t="s">
        <v>564</v>
      </c>
    </row>
    <row r="271" spans="1:2" x14ac:dyDescent="0.2">
      <c r="A271" s="148" t="s">
        <v>770</v>
      </c>
      <c r="B271" s="149" t="s">
        <v>564</v>
      </c>
    </row>
    <row r="272" spans="1:2" x14ac:dyDescent="0.2">
      <c r="A272" s="148" t="s">
        <v>771</v>
      </c>
      <c r="B272" s="149" t="s">
        <v>564</v>
      </c>
    </row>
    <row r="273" spans="1:2" x14ac:dyDescent="0.2">
      <c r="A273" s="148" t="s">
        <v>772</v>
      </c>
      <c r="B273" s="149" t="s">
        <v>564</v>
      </c>
    </row>
    <row r="274" spans="1:2" x14ac:dyDescent="0.2">
      <c r="A274" s="148" t="s">
        <v>773</v>
      </c>
      <c r="B274" s="149" t="s">
        <v>564</v>
      </c>
    </row>
    <row r="275" spans="1:2" x14ac:dyDescent="0.2">
      <c r="A275" s="148" t="s">
        <v>774</v>
      </c>
      <c r="B275" s="149" t="s">
        <v>564</v>
      </c>
    </row>
    <row r="276" spans="1:2" x14ac:dyDescent="0.2">
      <c r="A276" s="148" t="s">
        <v>775</v>
      </c>
      <c r="B276" s="149" t="s">
        <v>564</v>
      </c>
    </row>
    <row r="277" spans="1:2" x14ac:dyDescent="0.2">
      <c r="A277" s="148" t="s">
        <v>776</v>
      </c>
      <c r="B277" s="149" t="s">
        <v>564</v>
      </c>
    </row>
    <row r="278" spans="1:2" x14ac:dyDescent="0.2">
      <c r="A278" s="148" t="s">
        <v>777</v>
      </c>
      <c r="B278" s="149" t="s">
        <v>564</v>
      </c>
    </row>
    <row r="279" spans="1:2" x14ac:dyDescent="0.2">
      <c r="A279" s="148" t="s">
        <v>778</v>
      </c>
      <c r="B279" s="149" t="s">
        <v>564</v>
      </c>
    </row>
    <row r="280" spans="1:2" x14ac:dyDescent="0.2">
      <c r="A280" s="148" t="s">
        <v>779</v>
      </c>
      <c r="B280" s="149" t="s">
        <v>564</v>
      </c>
    </row>
    <row r="281" spans="1:2" x14ac:dyDescent="0.2">
      <c r="A281" s="148" t="s">
        <v>780</v>
      </c>
      <c r="B281" s="149" t="s">
        <v>564</v>
      </c>
    </row>
    <row r="282" spans="1:2" x14ac:dyDescent="0.2">
      <c r="A282" s="148" t="s">
        <v>781</v>
      </c>
      <c r="B282" s="149" t="s">
        <v>564</v>
      </c>
    </row>
    <row r="283" spans="1:2" x14ac:dyDescent="0.2">
      <c r="A283" s="148" t="s">
        <v>782</v>
      </c>
      <c r="B283" s="149" t="s">
        <v>564</v>
      </c>
    </row>
    <row r="284" spans="1:2" x14ac:dyDescent="0.2">
      <c r="A284" s="148" t="s">
        <v>783</v>
      </c>
      <c r="B284" s="149" t="s">
        <v>564</v>
      </c>
    </row>
    <row r="285" spans="1:2" x14ac:dyDescent="0.2">
      <c r="A285" s="148" t="s">
        <v>784</v>
      </c>
      <c r="B285" s="149" t="s">
        <v>564</v>
      </c>
    </row>
    <row r="286" spans="1:2" x14ac:dyDescent="0.2">
      <c r="A286" s="148" t="s">
        <v>785</v>
      </c>
      <c r="B286" s="149" t="s">
        <v>564</v>
      </c>
    </row>
    <row r="287" spans="1:2" x14ac:dyDescent="0.2">
      <c r="A287" s="148" t="s">
        <v>786</v>
      </c>
      <c r="B287" s="149" t="s">
        <v>564</v>
      </c>
    </row>
    <row r="288" spans="1:2" x14ac:dyDescent="0.2">
      <c r="A288" s="148" t="s">
        <v>787</v>
      </c>
      <c r="B288" s="149" t="s">
        <v>564</v>
      </c>
    </row>
    <row r="289" spans="1:2" x14ac:dyDescent="0.2">
      <c r="A289" s="148" t="s">
        <v>788</v>
      </c>
      <c r="B289" s="149" t="s">
        <v>564</v>
      </c>
    </row>
    <row r="290" spans="1:2" x14ac:dyDescent="0.2">
      <c r="A290" s="148" t="s">
        <v>789</v>
      </c>
      <c r="B290" s="149" t="s">
        <v>564</v>
      </c>
    </row>
    <row r="291" spans="1:2" x14ac:dyDescent="0.2">
      <c r="A291" s="148" t="s">
        <v>790</v>
      </c>
      <c r="B291" s="149" t="s">
        <v>564</v>
      </c>
    </row>
    <row r="292" spans="1:2" x14ac:dyDescent="0.2">
      <c r="A292" s="148" t="s">
        <v>791</v>
      </c>
      <c r="B292" s="149" t="s">
        <v>564</v>
      </c>
    </row>
    <row r="293" spans="1:2" x14ac:dyDescent="0.2">
      <c r="A293" s="148" t="s">
        <v>792</v>
      </c>
      <c r="B293" s="149" t="s">
        <v>564</v>
      </c>
    </row>
    <row r="294" spans="1:2" x14ac:dyDescent="0.2">
      <c r="A294" s="148" t="s">
        <v>793</v>
      </c>
      <c r="B294" s="149" t="s">
        <v>564</v>
      </c>
    </row>
    <row r="295" spans="1:2" x14ac:dyDescent="0.2">
      <c r="A295" s="148" t="s">
        <v>794</v>
      </c>
      <c r="B295" s="149" t="s">
        <v>564</v>
      </c>
    </row>
    <row r="296" spans="1:2" x14ac:dyDescent="0.2">
      <c r="A296" s="148" t="s">
        <v>795</v>
      </c>
      <c r="B296" s="149" t="s">
        <v>564</v>
      </c>
    </row>
    <row r="297" spans="1:2" x14ac:dyDescent="0.2">
      <c r="A297" s="148" t="s">
        <v>796</v>
      </c>
      <c r="B297" s="149" t="s">
        <v>564</v>
      </c>
    </row>
    <row r="298" spans="1:2" x14ac:dyDescent="0.2">
      <c r="A298" s="148" t="s">
        <v>797</v>
      </c>
      <c r="B298" s="149" t="s">
        <v>564</v>
      </c>
    </row>
    <row r="299" spans="1:2" x14ac:dyDescent="0.2">
      <c r="A299" s="148" t="s">
        <v>798</v>
      </c>
      <c r="B299" s="149" t="s">
        <v>564</v>
      </c>
    </row>
    <row r="300" spans="1:2" x14ac:dyDescent="0.2">
      <c r="A300" s="148" t="s">
        <v>799</v>
      </c>
      <c r="B300" s="149" t="s">
        <v>564</v>
      </c>
    </row>
    <row r="301" spans="1:2" x14ac:dyDescent="0.2">
      <c r="A301" s="148" t="s">
        <v>800</v>
      </c>
      <c r="B301" s="149" t="s">
        <v>564</v>
      </c>
    </row>
    <row r="302" spans="1:2" x14ac:dyDescent="0.2">
      <c r="A302" s="148" t="s">
        <v>801</v>
      </c>
      <c r="B302" s="149" t="s">
        <v>564</v>
      </c>
    </row>
    <row r="303" spans="1:2" x14ac:dyDescent="0.2">
      <c r="A303" s="148" t="s">
        <v>802</v>
      </c>
      <c r="B303" s="149" t="s">
        <v>564</v>
      </c>
    </row>
    <row r="304" spans="1:2" x14ac:dyDescent="0.2">
      <c r="A304" s="148" t="s">
        <v>803</v>
      </c>
      <c r="B304" s="149" t="s">
        <v>564</v>
      </c>
    </row>
    <row r="305" spans="1:2" x14ac:dyDescent="0.2">
      <c r="A305" s="148" t="s">
        <v>804</v>
      </c>
      <c r="B305" s="149" t="s">
        <v>564</v>
      </c>
    </row>
    <row r="306" spans="1:2" x14ac:dyDescent="0.2">
      <c r="A306" s="148" t="s">
        <v>805</v>
      </c>
      <c r="B306" s="149" t="s">
        <v>564</v>
      </c>
    </row>
    <row r="307" spans="1:2" x14ac:dyDescent="0.2">
      <c r="A307" s="148" t="s">
        <v>806</v>
      </c>
      <c r="B307" s="149" t="s">
        <v>564</v>
      </c>
    </row>
    <row r="308" spans="1:2" x14ac:dyDescent="0.2">
      <c r="A308" s="148" t="s">
        <v>807</v>
      </c>
      <c r="B308" s="149" t="s">
        <v>564</v>
      </c>
    </row>
    <row r="309" spans="1:2" x14ac:dyDescent="0.2">
      <c r="A309" s="148" t="s">
        <v>808</v>
      </c>
      <c r="B309" s="149" t="s">
        <v>564</v>
      </c>
    </row>
    <row r="310" spans="1:2" x14ac:dyDescent="0.2">
      <c r="A310" s="148" t="s">
        <v>809</v>
      </c>
      <c r="B310" s="149" t="s">
        <v>564</v>
      </c>
    </row>
    <row r="311" spans="1:2" x14ac:dyDescent="0.2">
      <c r="A311" s="148" t="s">
        <v>810</v>
      </c>
      <c r="B311" s="149" t="s">
        <v>564</v>
      </c>
    </row>
    <row r="312" spans="1:2" x14ac:dyDescent="0.2">
      <c r="A312" s="148" t="s">
        <v>811</v>
      </c>
      <c r="B312" s="149" t="s">
        <v>564</v>
      </c>
    </row>
    <row r="313" spans="1:2" x14ac:dyDescent="0.2">
      <c r="A313" s="148" t="s">
        <v>812</v>
      </c>
      <c r="B313" s="149" t="s">
        <v>564</v>
      </c>
    </row>
    <row r="314" spans="1:2" x14ac:dyDescent="0.2">
      <c r="A314" s="148" t="s">
        <v>813</v>
      </c>
      <c r="B314" s="149" t="s">
        <v>564</v>
      </c>
    </row>
    <row r="315" spans="1:2" x14ac:dyDescent="0.2">
      <c r="A315" s="148" t="s">
        <v>814</v>
      </c>
      <c r="B315" s="149" t="s">
        <v>564</v>
      </c>
    </row>
    <row r="316" spans="1:2" x14ac:dyDescent="0.2">
      <c r="A316" s="148" t="s">
        <v>815</v>
      </c>
      <c r="B316" s="149" t="s">
        <v>564</v>
      </c>
    </row>
    <row r="317" spans="1:2" x14ac:dyDescent="0.2">
      <c r="A317" s="148" t="s">
        <v>816</v>
      </c>
      <c r="B317" s="149" t="s">
        <v>564</v>
      </c>
    </row>
    <row r="318" spans="1:2" x14ac:dyDescent="0.2">
      <c r="A318" s="148" t="s">
        <v>817</v>
      </c>
      <c r="B318" s="149" t="s">
        <v>564</v>
      </c>
    </row>
    <row r="319" spans="1:2" x14ac:dyDescent="0.2">
      <c r="A319" s="148" t="s">
        <v>818</v>
      </c>
      <c r="B319" s="149" t="s">
        <v>564</v>
      </c>
    </row>
    <row r="320" spans="1:2" x14ac:dyDescent="0.2">
      <c r="A320" s="148" t="s">
        <v>819</v>
      </c>
      <c r="B320" s="149" t="s">
        <v>564</v>
      </c>
    </row>
    <row r="321" spans="1:2" x14ac:dyDescent="0.2">
      <c r="A321" s="148" t="s">
        <v>820</v>
      </c>
      <c r="B321" s="149" t="s">
        <v>564</v>
      </c>
    </row>
    <row r="322" spans="1:2" x14ac:dyDescent="0.2">
      <c r="A322" s="148" t="s">
        <v>821</v>
      </c>
      <c r="B322" s="149" t="s">
        <v>564</v>
      </c>
    </row>
    <row r="323" spans="1:2" x14ac:dyDescent="0.2">
      <c r="A323" s="148" t="s">
        <v>822</v>
      </c>
      <c r="B323" s="149" t="s">
        <v>564</v>
      </c>
    </row>
    <row r="324" spans="1:2" x14ac:dyDescent="0.2">
      <c r="A324" s="148" t="s">
        <v>823</v>
      </c>
      <c r="B324" s="149" t="s">
        <v>564</v>
      </c>
    </row>
    <row r="325" spans="1:2" x14ac:dyDescent="0.2">
      <c r="A325" s="148" t="s">
        <v>824</v>
      </c>
      <c r="B325" s="149" t="s">
        <v>564</v>
      </c>
    </row>
    <row r="326" spans="1:2" x14ac:dyDescent="0.2">
      <c r="A326" s="148" t="s">
        <v>825</v>
      </c>
      <c r="B326" s="149" t="s">
        <v>564</v>
      </c>
    </row>
    <row r="327" spans="1:2" x14ac:dyDescent="0.2">
      <c r="A327" s="148" t="s">
        <v>826</v>
      </c>
      <c r="B327" s="149" t="s">
        <v>564</v>
      </c>
    </row>
    <row r="328" spans="1:2" x14ac:dyDescent="0.2">
      <c r="A328" s="148" t="s">
        <v>827</v>
      </c>
      <c r="B328" s="149" t="s">
        <v>564</v>
      </c>
    </row>
    <row r="329" spans="1:2" x14ac:dyDescent="0.2">
      <c r="A329" s="148" t="s">
        <v>828</v>
      </c>
      <c r="B329" s="149" t="s">
        <v>564</v>
      </c>
    </row>
    <row r="330" spans="1:2" x14ac:dyDescent="0.2">
      <c r="A330" s="148" t="s">
        <v>829</v>
      </c>
      <c r="B330" s="149" t="s">
        <v>564</v>
      </c>
    </row>
    <row r="331" spans="1:2" x14ac:dyDescent="0.2">
      <c r="A331" s="148" t="s">
        <v>830</v>
      </c>
      <c r="B331" s="149" t="s">
        <v>564</v>
      </c>
    </row>
    <row r="332" spans="1:2" x14ac:dyDescent="0.2">
      <c r="A332" s="148" t="s">
        <v>831</v>
      </c>
      <c r="B332" s="149" t="s">
        <v>564</v>
      </c>
    </row>
    <row r="333" spans="1:2" x14ac:dyDescent="0.2">
      <c r="A333" s="148" t="s">
        <v>832</v>
      </c>
      <c r="B333" s="149" t="s">
        <v>564</v>
      </c>
    </row>
    <row r="334" spans="1:2" x14ac:dyDescent="0.2">
      <c r="A334" s="148" t="s">
        <v>833</v>
      </c>
      <c r="B334" s="149" t="s">
        <v>564</v>
      </c>
    </row>
    <row r="335" spans="1:2" x14ac:dyDescent="0.2">
      <c r="A335" s="148" t="s">
        <v>834</v>
      </c>
      <c r="B335" s="149" t="s">
        <v>564</v>
      </c>
    </row>
    <row r="336" spans="1:2" x14ac:dyDescent="0.2">
      <c r="A336" s="148" t="s">
        <v>835</v>
      </c>
      <c r="B336" s="149" t="s">
        <v>564</v>
      </c>
    </row>
    <row r="337" spans="1:2" x14ac:dyDescent="0.2">
      <c r="A337" s="148" t="s">
        <v>836</v>
      </c>
      <c r="B337" s="149" t="s">
        <v>564</v>
      </c>
    </row>
    <row r="338" spans="1:2" x14ac:dyDescent="0.2">
      <c r="A338" s="148" t="s">
        <v>837</v>
      </c>
      <c r="B338" s="149" t="s">
        <v>564</v>
      </c>
    </row>
    <row r="339" spans="1:2" x14ac:dyDescent="0.2">
      <c r="A339" s="148" t="s">
        <v>838</v>
      </c>
      <c r="B339" s="149" t="s">
        <v>564</v>
      </c>
    </row>
    <row r="340" spans="1:2" x14ac:dyDescent="0.2">
      <c r="A340" s="148" t="s">
        <v>839</v>
      </c>
      <c r="B340" s="149" t="s">
        <v>564</v>
      </c>
    </row>
    <row r="341" spans="1:2" x14ac:dyDescent="0.2">
      <c r="A341" s="148" t="s">
        <v>840</v>
      </c>
      <c r="B341" s="149" t="s">
        <v>564</v>
      </c>
    </row>
    <row r="342" spans="1:2" x14ac:dyDescent="0.2">
      <c r="A342" s="148" t="s">
        <v>841</v>
      </c>
      <c r="B342" s="149" t="s">
        <v>564</v>
      </c>
    </row>
    <row r="343" spans="1:2" x14ac:dyDescent="0.2">
      <c r="A343" s="148" t="s">
        <v>842</v>
      </c>
      <c r="B343" s="149" t="s">
        <v>564</v>
      </c>
    </row>
    <row r="344" spans="1:2" x14ac:dyDescent="0.2">
      <c r="A344" s="148" t="s">
        <v>843</v>
      </c>
      <c r="B344" s="149" t="s">
        <v>564</v>
      </c>
    </row>
    <row r="345" spans="1:2" x14ac:dyDescent="0.2">
      <c r="A345" s="148" t="s">
        <v>844</v>
      </c>
      <c r="B345" s="149" t="s">
        <v>564</v>
      </c>
    </row>
    <row r="346" spans="1:2" x14ac:dyDescent="0.2">
      <c r="A346" s="148" t="s">
        <v>845</v>
      </c>
      <c r="B346" s="149" t="s">
        <v>564</v>
      </c>
    </row>
    <row r="347" spans="1:2" x14ac:dyDescent="0.2">
      <c r="A347" s="148" t="s">
        <v>846</v>
      </c>
      <c r="B347" s="149" t="s">
        <v>564</v>
      </c>
    </row>
    <row r="348" spans="1:2" x14ac:dyDescent="0.2">
      <c r="A348" s="148" t="s">
        <v>847</v>
      </c>
      <c r="B348" s="149" t="s">
        <v>564</v>
      </c>
    </row>
    <row r="349" spans="1:2" x14ac:dyDescent="0.2">
      <c r="A349" s="148" t="s">
        <v>848</v>
      </c>
      <c r="B349" s="149" t="s">
        <v>564</v>
      </c>
    </row>
    <row r="350" spans="1:2" x14ac:dyDescent="0.2">
      <c r="A350" s="148" t="s">
        <v>849</v>
      </c>
      <c r="B350" s="149" t="s">
        <v>564</v>
      </c>
    </row>
    <row r="351" spans="1:2" x14ac:dyDescent="0.2">
      <c r="A351" s="148" t="s">
        <v>850</v>
      </c>
      <c r="B351" s="149" t="s">
        <v>564</v>
      </c>
    </row>
    <row r="352" spans="1:2" x14ac:dyDescent="0.2">
      <c r="A352" s="148" t="s">
        <v>851</v>
      </c>
      <c r="B352" s="149" t="s">
        <v>564</v>
      </c>
    </row>
    <row r="353" spans="1:2" x14ac:dyDescent="0.2">
      <c r="A353" s="148" t="s">
        <v>852</v>
      </c>
      <c r="B353" s="149" t="s">
        <v>564</v>
      </c>
    </row>
    <row r="354" spans="1:2" x14ac:dyDescent="0.2">
      <c r="A354" s="148" t="s">
        <v>853</v>
      </c>
      <c r="B354" s="149" t="s">
        <v>564</v>
      </c>
    </row>
    <row r="355" spans="1:2" x14ac:dyDescent="0.2">
      <c r="A355" s="148" t="s">
        <v>854</v>
      </c>
      <c r="B355" s="149" t="s">
        <v>564</v>
      </c>
    </row>
    <row r="356" spans="1:2" x14ac:dyDescent="0.2">
      <c r="A356" s="148" t="s">
        <v>855</v>
      </c>
      <c r="B356" s="149" t="s">
        <v>564</v>
      </c>
    </row>
    <row r="357" spans="1:2" x14ac:dyDescent="0.2">
      <c r="A357" s="148" t="s">
        <v>856</v>
      </c>
      <c r="B357" s="149" t="s">
        <v>564</v>
      </c>
    </row>
    <row r="358" spans="1:2" x14ac:dyDescent="0.2">
      <c r="A358" s="148" t="s">
        <v>857</v>
      </c>
      <c r="B358" s="149" t="s">
        <v>564</v>
      </c>
    </row>
    <row r="359" spans="1:2" x14ac:dyDescent="0.2">
      <c r="A359" s="148" t="s">
        <v>858</v>
      </c>
      <c r="B359" s="149" t="s">
        <v>564</v>
      </c>
    </row>
    <row r="360" spans="1:2" x14ac:dyDescent="0.2">
      <c r="A360" s="148" t="s">
        <v>859</v>
      </c>
      <c r="B360" s="149" t="s">
        <v>564</v>
      </c>
    </row>
    <row r="361" spans="1:2" x14ac:dyDescent="0.2">
      <c r="A361" s="148" t="s">
        <v>860</v>
      </c>
      <c r="B361" s="149" t="s">
        <v>564</v>
      </c>
    </row>
    <row r="362" spans="1:2" x14ac:dyDescent="0.2">
      <c r="A362" s="148" t="s">
        <v>861</v>
      </c>
      <c r="B362" s="149" t="s">
        <v>564</v>
      </c>
    </row>
    <row r="363" spans="1:2" x14ac:dyDescent="0.2">
      <c r="A363" s="148" t="s">
        <v>862</v>
      </c>
      <c r="B363" s="149" t="s">
        <v>564</v>
      </c>
    </row>
    <row r="364" spans="1:2" x14ac:dyDescent="0.2">
      <c r="A364" s="148" t="s">
        <v>863</v>
      </c>
      <c r="B364" s="149" t="s">
        <v>564</v>
      </c>
    </row>
    <row r="365" spans="1:2" x14ac:dyDescent="0.2">
      <c r="A365" s="148" t="s">
        <v>864</v>
      </c>
      <c r="B365" s="149" t="s">
        <v>564</v>
      </c>
    </row>
    <row r="366" spans="1:2" x14ac:dyDescent="0.2">
      <c r="A366" s="148" t="s">
        <v>865</v>
      </c>
      <c r="B366" s="149" t="s">
        <v>564</v>
      </c>
    </row>
    <row r="367" spans="1:2" x14ac:dyDescent="0.2">
      <c r="A367" s="148" t="s">
        <v>866</v>
      </c>
      <c r="B367" s="149" t="s">
        <v>564</v>
      </c>
    </row>
    <row r="368" spans="1:2" x14ac:dyDescent="0.2">
      <c r="A368" s="148" t="s">
        <v>867</v>
      </c>
      <c r="B368" s="149" t="s">
        <v>564</v>
      </c>
    </row>
    <row r="369" spans="1:2" x14ac:dyDescent="0.2">
      <c r="A369" s="148" t="s">
        <v>868</v>
      </c>
      <c r="B369" s="149" t="s">
        <v>564</v>
      </c>
    </row>
    <row r="370" spans="1:2" x14ac:dyDescent="0.2">
      <c r="A370" s="148" t="s">
        <v>869</v>
      </c>
      <c r="B370" s="149" t="s">
        <v>564</v>
      </c>
    </row>
    <row r="371" spans="1:2" x14ac:dyDescent="0.2">
      <c r="A371" s="148" t="s">
        <v>870</v>
      </c>
      <c r="B371" s="149" t="s">
        <v>564</v>
      </c>
    </row>
    <row r="372" spans="1:2" x14ac:dyDescent="0.2">
      <c r="A372" s="148" t="s">
        <v>871</v>
      </c>
      <c r="B372" s="149" t="s">
        <v>564</v>
      </c>
    </row>
    <row r="373" spans="1:2" x14ac:dyDescent="0.2">
      <c r="A373" s="148" t="s">
        <v>872</v>
      </c>
      <c r="B373" s="149" t="s">
        <v>564</v>
      </c>
    </row>
    <row r="374" spans="1:2" x14ac:dyDescent="0.2">
      <c r="A374" s="148" t="s">
        <v>873</v>
      </c>
      <c r="B374" s="149" t="s">
        <v>564</v>
      </c>
    </row>
    <row r="375" spans="1:2" x14ac:dyDescent="0.2">
      <c r="A375" s="148" t="s">
        <v>874</v>
      </c>
      <c r="B375" s="149" t="s">
        <v>564</v>
      </c>
    </row>
    <row r="376" spans="1:2" x14ac:dyDescent="0.2">
      <c r="A376" s="148" t="s">
        <v>875</v>
      </c>
      <c r="B376" s="149" t="s">
        <v>564</v>
      </c>
    </row>
    <row r="377" spans="1:2" x14ac:dyDescent="0.2">
      <c r="A377" s="148" t="s">
        <v>876</v>
      </c>
      <c r="B377" s="149" t="s">
        <v>564</v>
      </c>
    </row>
    <row r="378" spans="1:2" x14ac:dyDescent="0.2">
      <c r="A378" s="148" t="s">
        <v>877</v>
      </c>
      <c r="B378" s="149" t="s">
        <v>564</v>
      </c>
    </row>
    <row r="379" spans="1:2" x14ac:dyDescent="0.2">
      <c r="A379" s="148" t="s">
        <v>878</v>
      </c>
      <c r="B379" s="149" t="s">
        <v>564</v>
      </c>
    </row>
    <row r="380" spans="1:2" x14ac:dyDescent="0.2">
      <c r="A380" s="148" t="s">
        <v>879</v>
      </c>
      <c r="B380" s="149" t="s">
        <v>564</v>
      </c>
    </row>
    <row r="381" spans="1:2" x14ac:dyDescent="0.2">
      <c r="A381" s="148" t="s">
        <v>880</v>
      </c>
      <c r="B381" s="149" t="s">
        <v>564</v>
      </c>
    </row>
    <row r="382" spans="1:2" x14ac:dyDescent="0.2">
      <c r="A382" s="148" t="s">
        <v>881</v>
      </c>
      <c r="B382" s="149" t="s">
        <v>564</v>
      </c>
    </row>
    <row r="383" spans="1:2" x14ac:dyDescent="0.2">
      <c r="A383" s="148" t="s">
        <v>882</v>
      </c>
      <c r="B383" s="149" t="s">
        <v>564</v>
      </c>
    </row>
    <row r="384" spans="1:2" x14ac:dyDescent="0.2">
      <c r="A384" s="148" t="s">
        <v>883</v>
      </c>
      <c r="B384" s="149" t="s">
        <v>564</v>
      </c>
    </row>
    <row r="385" spans="1:2" x14ac:dyDescent="0.2">
      <c r="A385" s="148" t="s">
        <v>884</v>
      </c>
      <c r="B385" s="149" t="s">
        <v>564</v>
      </c>
    </row>
    <row r="386" spans="1:2" x14ac:dyDescent="0.2">
      <c r="A386" s="148" t="s">
        <v>885</v>
      </c>
      <c r="B386" s="149" t="s">
        <v>564</v>
      </c>
    </row>
    <row r="387" spans="1:2" x14ac:dyDescent="0.2">
      <c r="A387" s="148" t="s">
        <v>886</v>
      </c>
      <c r="B387" s="149" t="s">
        <v>564</v>
      </c>
    </row>
    <row r="388" spans="1:2" x14ac:dyDescent="0.2">
      <c r="A388" s="148" t="s">
        <v>887</v>
      </c>
      <c r="B388" s="149" t="s">
        <v>564</v>
      </c>
    </row>
    <row r="389" spans="1:2" x14ac:dyDescent="0.2">
      <c r="A389" s="148" t="s">
        <v>888</v>
      </c>
      <c r="B389" s="149" t="s">
        <v>889</v>
      </c>
    </row>
    <row r="390" spans="1:2" x14ac:dyDescent="0.2">
      <c r="A390" s="148" t="s">
        <v>890</v>
      </c>
      <c r="B390" s="149" t="s">
        <v>891</v>
      </c>
    </row>
    <row r="391" spans="1:2" x14ac:dyDescent="0.2">
      <c r="A391" s="148" t="s">
        <v>538</v>
      </c>
      <c r="B391" s="149" t="s">
        <v>892</v>
      </c>
    </row>
    <row r="392" spans="1:2" x14ac:dyDescent="0.2">
      <c r="A392" s="148" t="s">
        <v>893</v>
      </c>
      <c r="B392" s="149" t="s">
        <v>894</v>
      </c>
    </row>
    <row r="393" spans="1:2" x14ac:dyDescent="0.2">
      <c r="A393" s="148" t="s">
        <v>546</v>
      </c>
      <c r="B393" s="149" t="s">
        <v>895</v>
      </c>
    </row>
    <row r="394" spans="1:2" x14ac:dyDescent="0.2">
      <c r="A394" s="148" t="s">
        <v>896</v>
      </c>
      <c r="B394" s="149" t="s">
        <v>897</v>
      </c>
    </row>
    <row r="395" spans="1:2" x14ac:dyDescent="0.2">
      <c r="A395" s="148" t="s">
        <v>898</v>
      </c>
      <c r="B395" s="149" t="s">
        <v>899</v>
      </c>
    </row>
    <row r="396" spans="1:2" x14ac:dyDescent="0.2">
      <c r="A396" s="148" t="s">
        <v>900</v>
      </c>
      <c r="B396" s="149" t="s">
        <v>901</v>
      </c>
    </row>
    <row r="397" spans="1:2" x14ac:dyDescent="0.2">
      <c r="A397" s="148" t="s">
        <v>902</v>
      </c>
      <c r="B397" s="149" t="s">
        <v>903</v>
      </c>
    </row>
    <row r="398" spans="1:2" x14ac:dyDescent="0.2">
      <c r="A398" s="148" t="s">
        <v>904</v>
      </c>
      <c r="B398" s="149" t="s">
        <v>905</v>
      </c>
    </row>
    <row r="399" spans="1:2" x14ac:dyDescent="0.2">
      <c r="A399" s="148" t="s">
        <v>900</v>
      </c>
      <c r="B399" s="149" t="s">
        <v>906</v>
      </c>
    </row>
    <row r="400" spans="1:2" x14ac:dyDescent="0.2">
      <c r="A400" s="148" t="s">
        <v>907</v>
      </c>
      <c r="B400" s="149" t="s">
        <v>908</v>
      </c>
    </row>
    <row r="401" spans="1:2" x14ac:dyDescent="0.2">
      <c r="A401" s="148" t="s">
        <v>557</v>
      </c>
      <c r="B401" s="149" t="s">
        <v>909</v>
      </c>
    </row>
    <row r="402" spans="1:2" x14ac:dyDescent="0.2">
      <c r="A402" s="148" t="s">
        <v>910</v>
      </c>
      <c r="B402" s="149" t="s">
        <v>911</v>
      </c>
    </row>
    <row r="403" spans="1:2" x14ac:dyDescent="0.2">
      <c r="A403" s="148" t="s">
        <v>912</v>
      </c>
      <c r="B403" s="149" t="s">
        <v>913</v>
      </c>
    </row>
    <row r="404" spans="1:2" x14ac:dyDescent="0.2">
      <c r="A404" s="148" t="s">
        <v>914</v>
      </c>
      <c r="B404" s="149" t="s">
        <v>915</v>
      </c>
    </row>
    <row r="405" spans="1:2" x14ac:dyDescent="0.2">
      <c r="A405" s="148" t="s">
        <v>554</v>
      </c>
      <c r="B405" s="149" t="s">
        <v>916</v>
      </c>
    </row>
    <row r="406" spans="1:2" x14ac:dyDescent="0.2">
      <c r="A406" s="148" t="s">
        <v>907</v>
      </c>
      <c r="B406" s="149" t="s">
        <v>917</v>
      </c>
    </row>
    <row r="407" spans="1:2" x14ac:dyDescent="0.2">
      <c r="A407" s="148" t="s">
        <v>918</v>
      </c>
      <c r="B407" s="149" t="s">
        <v>919</v>
      </c>
    </row>
    <row r="408" spans="1:2" x14ac:dyDescent="0.2">
      <c r="A408" s="148" t="s">
        <v>534</v>
      </c>
      <c r="B408" s="149" t="s">
        <v>920</v>
      </c>
    </row>
    <row r="409" spans="1:2" x14ac:dyDescent="0.2">
      <c r="A409" s="148" t="s">
        <v>550</v>
      </c>
      <c r="B409" s="149" t="s">
        <v>921</v>
      </c>
    </row>
    <row r="410" spans="1:2" x14ac:dyDescent="0.2">
      <c r="A410" s="148" t="s">
        <v>563</v>
      </c>
      <c r="B410" s="149" t="s">
        <v>922</v>
      </c>
    </row>
    <row r="411" spans="1:2" x14ac:dyDescent="0.2">
      <c r="A411" s="148" t="s">
        <v>565</v>
      </c>
      <c r="B411" s="149" t="s">
        <v>922</v>
      </c>
    </row>
    <row r="412" spans="1:2" x14ac:dyDescent="0.2">
      <c r="A412" s="148" t="s">
        <v>566</v>
      </c>
      <c r="B412" s="149" t="s">
        <v>922</v>
      </c>
    </row>
    <row r="413" spans="1:2" x14ac:dyDescent="0.2">
      <c r="A413" s="148" t="s">
        <v>567</v>
      </c>
      <c r="B413" s="149" t="s">
        <v>922</v>
      </c>
    </row>
    <row r="414" spans="1:2" x14ac:dyDescent="0.2">
      <c r="A414" s="148" t="s">
        <v>568</v>
      </c>
      <c r="B414" s="149" t="s">
        <v>922</v>
      </c>
    </row>
    <row r="415" spans="1:2" x14ac:dyDescent="0.2">
      <c r="A415" s="148" t="s">
        <v>569</v>
      </c>
      <c r="B415" s="149" t="s">
        <v>922</v>
      </c>
    </row>
    <row r="416" spans="1:2" x14ac:dyDescent="0.2">
      <c r="A416" s="148" t="s">
        <v>570</v>
      </c>
      <c r="B416" s="149" t="s">
        <v>922</v>
      </c>
    </row>
    <row r="417" spans="1:2" x14ac:dyDescent="0.2">
      <c r="A417" s="148" t="s">
        <v>571</v>
      </c>
      <c r="B417" s="149" t="s">
        <v>922</v>
      </c>
    </row>
    <row r="418" spans="1:2" x14ac:dyDescent="0.2">
      <c r="A418" s="148" t="s">
        <v>572</v>
      </c>
      <c r="B418" s="149" t="s">
        <v>922</v>
      </c>
    </row>
    <row r="419" spans="1:2" x14ac:dyDescent="0.2">
      <c r="A419" s="148" t="s">
        <v>573</v>
      </c>
      <c r="B419" s="149" t="s">
        <v>922</v>
      </c>
    </row>
    <row r="420" spans="1:2" x14ac:dyDescent="0.2">
      <c r="A420" s="148" t="s">
        <v>574</v>
      </c>
      <c r="B420" s="149" t="s">
        <v>922</v>
      </c>
    </row>
    <row r="421" spans="1:2" x14ac:dyDescent="0.2">
      <c r="A421" s="148" t="s">
        <v>575</v>
      </c>
      <c r="B421" s="149" t="s">
        <v>922</v>
      </c>
    </row>
    <row r="422" spans="1:2" x14ac:dyDescent="0.2">
      <c r="A422" s="148" t="s">
        <v>576</v>
      </c>
      <c r="B422" s="149" t="s">
        <v>922</v>
      </c>
    </row>
    <row r="423" spans="1:2" x14ac:dyDescent="0.2">
      <c r="A423" s="148" t="s">
        <v>577</v>
      </c>
      <c r="B423" s="149" t="s">
        <v>922</v>
      </c>
    </row>
    <row r="424" spans="1:2" x14ac:dyDescent="0.2">
      <c r="A424" s="148" t="s">
        <v>578</v>
      </c>
      <c r="B424" s="149" t="s">
        <v>922</v>
      </c>
    </row>
    <row r="425" spans="1:2" x14ac:dyDescent="0.2">
      <c r="A425" s="148" t="s">
        <v>579</v>
      </c>
      <c r="B425" s="149" t="s">
        <v>922</v>
      </c>
    </row>
    <row r="426" spans="1:2" x14ac:dyDescent="0.2">
      <c r="A426" s="148" t="s">
        <v>580</v>
      </c>
      <c r="B426" s="149" t="s">
        <v>922</v>
      </c>
    </row>
    <row r="427" spans="1:2" x14ac:dyDescent="0.2">
      <c r="A427" s="148" t="s">
        <v>581</v>
      </c>
      <c r="B427" s="149" t="s">
        <v>922</v>
      </c>
    </row>
    <row r="428" spans="1:2" x14ac:dyDescent="0.2">
      <c r="A428" s="148" t="s">
        <v>582</v>
      </c>
      <c r="B428" s="149" t="s">
        <v>922</v>
      </c>
    </row>
    <row r="429" spans="1:2" x14ac:dyDescent="0.2">
      <c r="A429" s="148" t="s">
        <v>583</v>
      </c>
      <c r="B429" s="149" t="s">
        <v>922</v>
      </c>
    </row>
    <row r="430" spans="1:2" x14ac:dyDescent="0.2">
      <c r="A430" s="148" t="s">
        <v>584</v>
      </c>
      <c r="B430" s="149" t="s">
        <v>922</v>
      </c>
    </row>
    <row r="431" spans="1:2" x14ac:dyDescent="0.2">
      <c r="A431" s="148" t="s">
        <v>585</v>
      </c>
      <c r="B431" s="149" t="s">
        <v>922</v>
      </c>
    </row>
    <row r="432" spans="1:2" x14ac:dyDescent="0.2">
      <c r="A432" s="148" t="s">
        <v>586</v>
      </c>
      <c r="B432" s="149" t="s">
        <v>922</v>
      </c>
    </row>
    <row r="433" spans="1:2" x14ac:dyDescent="0.2">
      <c r="A433" s="148" t="s">
        <v>587</v>
      </c>
      <c r="B433" s="149" t="s">
        <v>922</v>
      </c>
    </row>
    <row r="434" spans="1:2" x14ac:dyDescent="0.2">
      <c r="A434" s="148" t="s">
        <v>588</v>
      </c>
      <c r="B434" s="149" t="s">
        <v>922</v>
      </c>
    </row>
    <row r="435" spans="1:2" x14ac:dyDescent="0.2">
      <c r="A435" s="148" t="s">
        <v>589</v>
      </c>
      <c r="B435" s="149" t="s">
        <v>922</v>
      </c>
    </row>
    <row r="436" spans="1:2" x14ac:dyDescent="0.2">
      <c r="A436" s="148" t="s">
        <v>590</v>
      </c>
      <c r="B436" s="149" t="s">
        <v>922</v>
      </c>
    </row>
    <row r="437" spans="1:2" x14ac:dyDescent="0.2">
      <c r="A437" s="148" t="s">
        <v>591</v>
      </c>
      <c r="B437" s="149" t="s">
        <v>922</v>
      </c>
    </row>
    <row r="438" spans="1:2" x14ac:dyDescent="0.2">
      <c r="A438" s="148" t="s">
        <v>592</v>
      </c>
      <c r="B438" s="149" t="s">
        <v>922</v>
      </c>
    </row>
    <row r="439" spans="1:2" x14ac:dyDescent="0.2">
      <c r="A439" s="148" t="s">
        <v>593</v>
      </c>
      <c r="B439" s="149" t="s">
        <v>922</v>
      </c>
    </row>
    <row r="440" spans="1:2" x14ac:dyDescent="0.2">
      <c r="A440" s="148" t="s">
        <v>594</v>
      </c>
      <c r="B440" s="149" t="s">
        <v>922</v>
      </c>
    </row>
    <row r="441" spans="1:2" x14ac:dyDescent="0.2">
      <c r="A441" s="148" t="s">
        <v>595</v>
      </c>
      <c r="B441" s="149" t="s">
        <v>922</v>
      </c>
    </row>
    <row r="442" spans="1:2" x14ac:dyDescent="0.2">
      <c r="A442" s="148" t="s">
        <v>596</v>
      </c>
      <c r="B442" s="149" t="s">
        <v>922</v>
      </c>
    </row>
    <row r="443" spans="1:2" x14ac:dyDescent="0.2">
      <c r="A443" s="148" t="s">
        <v>597</v>
      </c>
      <c r="B443" s="149" t="s">
        <v>922</v>
      </c>
    </row>
    <row r="444" spans="1:2" x14ac:dyDescent="0.2">
      <c r="A444" s="148" t="s">
        <v>598</v>
      </c>
      <c r="B444" s="149" t="s">
        <v>922</v>
      </c>
    </row>
    <row r="445" spans="1:2" x14ac:dyDescent="0.2">
      <c r="A445" s="148" t="s">
        <v>599</v>
      </c>
      <c r="B445" s="149" t="s">
        <v>922</v>
      </c>
    </row>
    <row r="446" spans="1:2" x14ac:dyDescent="0.2">
      <c r="A446" s="148" t="s">
        <v>600</v>
      </c>
      <c r="B446" s="149" t="s">
        <v>922</v>
      </c>
    </row>
    <row r="447" spans="1:2" x14ac:dyDescent="0.2">
      <c r="A447" s="148" t="s">
        <v>601</v>
      </c>
      <c r="B447" s="149" t="s">
        <v>922</v>
      </c>
    </row>
    <row r="448" spans="1:2" x14ac:dyDescent="0.2">
      <c r="A448" s="148" t="s">
        <v>602</v>
      </c>
      <c r="B448" s="149" t="s">
        <v>922</v>
      </c>
    </row>
    <row r="449" spans="1:2" x14ac:dyDescent="0.2">
      <c r="A449" s="148" t="s">
        <v>603</v>
      </c>
      <c r="B449" s="149" t="s">
        <v>922</v>
      </c>
    </row>
    <row r="450" spans="1:2" x14ac:dyDescent="0.2">
      <c r="A450" s="148" t="s">
        <v>604</v>
      </c>
      <c r="B450" s="149" t="s">
        <v>922</v>
      </c>
    </row>
    <row r="451" spans="1:2" x14ac:dyDescent="0.2">
      <c r="A451" s="148" t="s">
        <v>605</v>
      </c>
      <c r="B451" s="149" t="s">
        <v>922</v>
      </c>
    </row>
    <row r="452" spans="1:2" x14ac:dyDescent="0.2">
      <c r="A452" s="148" t="s">
        <v>606</v>
      </c>
      <c r="B452" s="149" t="s">
        <v>922</v>
      </c>
    </row>
    <row r="453" spans="1:2" x14ac:dyDescent="0.2">
      <c r="A453" s="148" t="s">
        <v>607</v>
      </c>
      <c r="B453" s="149" t="s">
        <v>922</v>
      </c>
    </row>
    <row r="454" spans="1:2" x14ac:dyDescent="0.2">
      <c r="A454" s="148" t="s">
        <v>608</v>
      </c>
      <c r="B454" s="149" t="s">
        <v>922</v>
      </c>
    </row>
    <row r="455" spans="1:2" x14ac:dyDescent="0.2">
      <c r="A455" s="148" t="s">
        <v>609</v>
      </c>
      <c r="B455" s="149" t="s">
        <v>922</v>
      </c>
    </row>
    <row r="456" spans="1:2" x14ac:dyDescent="0.2">
      <c r="A456" s="148" t="s">
        <v>610</v>
      </c>
      <c r="B456" s="149" t="s">
        <v>922</v>
      </c>
    </row>
    <row r="457" spans="1:2" x14ac:dyDescent="0.2">
      <c r="A457" s="148" t="s">
        <v>611</v>
      </c>
      <c r="B457" s="149" t="s">
        <v>922</v>
      </c>
    </row>
    <row r="458" spans="1:2" x14ac:dyDescent="0.2">
      <c r="A458" s="148" t="s">
        <v>612</v>
      </c>
      <c r="B458" s="149" t="s">
        <v>922</v>
      </c>
    </row>
    <row r="459" spans="1:2" x14ac:dyDescent="0.2">
      <c r="A459" s="148" t="s">
        <v>613</v>
      </c>
      <c r="B459" s="149" t="s">
        <v>922</v>
      </c>
    </row>
    <row r="460" spans="1:2" x14ac:dyDescent="0.2">
      <c r="A460" s="148" t="s">
        <v>614</v>
      </c>
      <c r="B460" s="149" t="s">
        <v>922</v>
      </c>
    </row>
    <row r="461" spans="1:2" x14ac:dyDescent="0.2">
      <c r="A461" s="148" t="s">
        <v>615</v>
      </c>
      <c r="B461" s="149" t="s">
        <v>922</v>
      </c>
    </row>
    <row r="462" spans="1:2" x14ac:dyDescent="0.2">
      <c r="A462" s="148" t="s">
        <v>616</v>
      </c>
      <c r="B462" s="149" t="s">
        <v>922</v>
      </c>
    </row>
    <row r="463" spans="1:2" x14ac:dyDescent="0.2">
      <c r="A463" s="148" t="s">
        <v>617</v>
      </c>
      <c r="B463" s="149" t="s">
        <v>922</v>
      </c>
    </row>
    <row r="464" spans="1:2" x14ac:dyDescent="0.2">
      <c r="A464" s="148" t="s">
        <v>618</v>
      </c>
      <c r="B464" s="149" t="s">
        <v>922</v>
      </c>
    </row>
    <row r="465" spans="1:2" x14ac:dyDescent="0.2">
      <c r="A465" s="148" t="s">
        <v>619</v>
      </c>
      <c r="B465" s="149" t="s">
        <v>922</v>
      </c>
    </row>
    <row r="466" spans="1:2" x14ac:dyDescent="0.2">
      <c r="A466" s="148" t="s">
        <v>620</v>
      </c>
      <c r="B466" s="149" t="s">
        <v>922</v>
      </c>
    </row>
    <row r="467" spans="1:2" x14ac:dyDescent="0.2">
      <c r="A467" s="148" t="s">
        <v>621</v>
      </c>
      <c r="B467" s="149" t="s">
        <v>922</v>
      </c>
    </row>
    <row r="468" spans="1:2" x14ac:dyDescent="0.2">
      <c r="A468" s="148" t="s">
        <v>622</v>
      </c>
      <c r="B468" s="149" t="s">
        <v>922</v>
      </c>
    </row>
    <row r="469" spans="1:2" x14ac:dyDescent="0.2">
      <c r="A469" s="148" t="s">
        <v>623</v>
      </c>
      <c r="B469" s="149" t="s">
        <v>922</v>
      </c>
    </row>
    <row r="470" spans="1:2" x14ac:dyDescent="0.2">
      <c r="A470" s="148" t="s">
        <v>624</v>
      </c>
      <c r="B470" s="149" t="s">
        <v>922</v>
      </c>
    </row>
    <row r="471" spans="1:2" x14ac:dyDescent="0.2">
      <c r="A471" s="148" t="s">
        <v>625</v>
      </c>
      <c r="B471" s="149" t="s">
        <v>922</v>
      </c>
    </row>
    <row r="472" spans="1:2" x14ac:dyDescent="0.2">
      <c r="A472" s="148" t="s">
        <v>626</v>
      </c>
      <c r="B472" s="149" t="s">
        <v>922</v>
      </c>
    </row>
    <row r="473" spans="1:2" x14ac:dyDescent="0.2">
      <c r="A473" s="148" t="s">
        <v>627</v>
      </c>
      <c r="B473" s="149" t="s">
        <v>922</v>
      </c>
    </row>
    <row r="474" spans="1:2" x14ac:dyDescent="0.2">
      <c r="A474" s="148" t="s">
        <v>628</v>
      </c>
      <c r="B474" s="149" t="s">
        <v>922</v>
      </c>
    </row>
    <row r="475" spans="1:2" x14ac:dyDescent="0.2">
      <c r="A475" s="148" t="s">
        <v>629</v>
      </c>
      <c r="B475" s="149" t="s">
        <v>922</v>
      </c>
    </row>
    <row r="476" spans="1:2" x14ac:dyDescent="0.2">
      <c r="A476" s="148" t="s">
        <v>630</v>
      </c>
      <c r="B476" s="149" t="s">
        <v>922</v>
      </c>
    </row>
    <row r="477" spans="1:2" x14ac:dyDescent="0.2">
      <c r="A477" s="148" t="s">
        <v>631</v>
      </c>
      <c r="B477" s="149" t="s">
        <v>922</v>
      </c>
    </row>
    <row r="478" spans="1:2" x14ac:dyDescent="0.2">
      <c r="A478" s="148" t="s">
        <v>632</v>
      </c>
      <c r="B478" s="149" t="s">
        <v>922</v>
      </c>
    </row>
    <row r="479" spans="1:2" x14ac:dyDescent="0.2">
      <c r="A479" s="148" t="s">
        <v>633</v>
      </c>
      <c r="B479" s="149" t="s">
        <v>922</v>
      </c>
    </row>
    <row r="480" spans="1:2" x14ac:dyDescent="0.2">
      <c r="A480" s="148" t="s">
        <v>634</v>
      </c>
      <c r="B480" s="149" t="s">
        <v>922</v>
      </c>
    </row>
    <row r="481" spans="1:2" x14ac:dyDescent="0.2">
      <c r="A481" s="148" t="s">
        <v>635</v>
      </c>
      <c r="B481" s="149" t="s">
        <v>922</v>
      </c>
    </row>
    <row r="482" spans="1:2" x14ac:dyDescent="0.2">
      <c r="A482" s="148" t="s">
        <v>636</v>
      </c>
      <c r="B482" s="149" t="s">
        <v>922</v>
      </c>
    </row>
    <row r="483" spans="1:2" x14ac:dyDescent="0.2">
      <c r="A483" s="148" t="s">
        <v>637</v>
      </c>
      <c r="B483" s="149" t="s">
        <v>922</v>
      </c>
    </row>
    <row r="484" spans="1:2" x14ac:dyDescent="0.2">
      <c r="A484" s="148" t="s">
        <v>638</v>
      </c>
      <c r="B484" s="149" t="s">
        <v>922</v>
      </c>
    </row>
    <row r="485" spans="1:2" x14ac:dyDescent="0.2">
      <c r="A485" s="148" t="s">
        <v>639</v>
      </c>
      <c r="B485" s="149" t="s">
        <v>922</v>
      </c>
    </row>
    <row r="486" spans="1:2" x14ac:dyDescent="0.2">
      <c r="A486" s="148" t="s">
        <v>640</v>
      </c>
      <c r="B486" s="149" t="s">
        <v>922</v>
      </c>
    </row>
    <row r="487" spans="1:2" x14ac:dyDescent="0.2">
      <c r="A487" s="148" t="s">
        <v>641</v>
      </c>
      <c r="B487" s="149" t="s">
        <v>922</v>
      </c>
    </row>
    <row r="488" spans="1:2" x14ac:dyDescent="0.2">
      <c r="A488" s="148" t="s">
        <v>642</v>
      </c>
      <c r="B488" s="149" t="s">
        <v>922</v>
      </c>
    </row>
    <row r="489" spans="1:2" x14ac:dyDescent="0.2">
      <c r="A489" s="148" t="s">
        <v>643</v>
      </c>
      <c r="B489" s="149" t="s">
        <v>922</v>
      </c>
    </row>
    <row r="490" spans="1:2" x14ac:dyDescent="0.2">
      <c r="A490" s="148" t="s">
        <v>644</v>
      </c>
      <c r="B490" s="149" t="s">
        <v>922</v>
      </c>
    </row>
    <row r="491" spans="1:2" x14ac:dyDescent="0.2">
      <c r="A491" s="148" t="s">
        <v>645</v>
      </c>
      <c r="B491" s="149" t="s">
        <v>922</v>
      </c>
    </row>
    <row r="492" spans="1:2" x14ac:dyDescent="0.2">
      <c r="A492" s="148" t="s">
        <v>646</v>
      </c>
      <c r="B492" s="149" t="s">
        <v>922</v>
      </c>
    </row>
    <row r="493" spans="1:2" x14ac:dyDescent="0.2">
      <c r="A493" s="148" t="s">
        <v>647</v>
      </c>
      <c r="B493" s="149" t="s">
        <v>922</v>
      </c>
    </row>
    <row r="494" spans="1:2" x14ac:dyDescent="0.2">
      <c r="A494" s="148" t="s">
        <v>648</v>
      </c>
      <c r="B494" s="149" t="s">
        <v>922</v>
      </c>
    </row>
    <row r="495" spans="1:2" x14ac:dyDescent="0.2">
      <c r="A495" s="148" t="s">
        <v>649</v>
      </c>
      <c r="B495" s="149" t="s">
        <v>922</v>
      </c>
    </row>
    <row r="496" spans="1:2" x14ac:dyDescent="0.2">
      <c r="A496" s="148" t="s">
        <v>650</v>
      </c>
      <c r="B496" s="149" t="s">
        <v>922</v>
      </c>
    </row>
    <row r="497" spans="1:2" x14ac:dyDescent="0.2">
      <c r="A497" s="148" t="s">
        <v>651</v>
      </c>
      <c r="B497" s="149" t="s">
        <v>922</v>
      </c>
    </row>
    <row r="498" spans="1:2" x14ac:dyDescent="0.2">
      <c r="A498" s="148" t="s">
        <v>652</v>
      </c>
      <c r="B498" s="149" t="s">
        <v>922</v>
      </c>
    </row>
    <row r="499" spans="1:2" x14ac:dyDescent="0.2">
      <c r="A499" s="148" t="s">
        <v>653</v>
      </c>
      <c r="B499" s="149" t="s">
        <v>922</v>
      </c>
    </row>
    <row r="500" spans="1:2" x14ac:dyDescent="0.2">
      <c r="A500" s="148" t="s">
        <v>654</v>
      </c>
      <c r="B500" s="149" t="s">
        <v>922</v>
      </c>
    </row>
    <row r="501" spans="1:2" x14ac:dyDescent="0.2">
      <c r="A501" s="148" t="s">
        <v>655</v>
      </c>
      <c r="B501" s="149" t="s">
        <v>922</v>
      </c>
    </row>
    <row r="502" spans="1:2" x14ac:dyDescent="0.2">
      <c r="A502" s="148" t="s">
        <v>656</v>
      </c>
      <c r="B502" s="149" t="s">
        <v>922</v>
      </c>
    </row>
    <row r="503" spans="1:2" x14ac:dyDescent="0.2">
      <c r="A503" s="148" t="s">
        <v>657</v>
      </c>
      <c r="B503" s="149" t="s">
        <v>922</v>
      </c>
    </row>
    <row r="504" spans="1:2" x14ac:dyDescent="0.2">
      <c r="A504" s="148" t="s">
        <v>658</v>
      </c>
      <c r="B504" s="149" t="s">
        <v>922</v>
      </c>
    </row>
    <row r="505" spans="1:2" x14ac:dyDescent="0.2">
      <c r="A505" s="148" t="s">
        <v>659</v>
      </c>
      <c r="B505" s="149" t="s">
        <v>922</v>
      </c>
    </row>
    <row r="506" spans="1:2" x14ac:dyDescent="0.2">
      <c r="A506" s="148" t="s">
        <v>660</v>
      </c>
      <c r="B506" s="149" t="s">
        <v>922</v>
      </c>
    </row>
    <row r="507" spans="1:2" x14ac:dyDescent="0.2">
      <c r="A507" s="148" t="s">
        <v>661</v>
      </c>
      <c r="B507" s="149" t="s">
        <v>922</v>
      </c>
    </row>
    <row r="508" spans="1:2" x14ac:dyDescent="0.2">
      <c r="A508" s="148" t="s">
        <v>662</v>
      </c>
      <c r="B508" s="149" t="s">
        <v>922</v>
      </c>
    </row>
    <row r="509" spans="1:2" x14ac:dyDescent="0.2">
      <c r="A509" s="148" t="s">
        <v>663</v>
      </c>
      <c r="B509" s="149" t="s">
        <v>922</v>
      </c>
    </row>
    <row r="510" spans="1:2" x14ac:dyDescent="0.2">
      <c r="A510" s="148" t="s">
        <v>664</v>
      </c>
      <c r="B510" s="149" t="s">
        <v>922</v>
      </c>
    </row>
    <row r="511" spans="1:2" x14ac:dyDescent="0.2">
      <c r="A511" s="148" t="s">
        <v>665</v>
      </c>
      <c r="B511" s="149" t="s">
        <v>922</v>
      </c>
    </row>
    <row r="512" spans="1:2" x14ac:dyDescent="0.2">
      <c r="A512" s="148" t="s">
        <v>666</v>
      </c>
      <c r="B512" s="149" t="s">
        <v>922</v>
      </c>
    </row>
    <row r="513" spans="1:2" x14ac:dyDescent="0.2">
      <c r="A513" s="148" t="s">
        <v>667</v>
      </c>
      <c r="B513" s="149" t="s">
        <v>922</v>
      </c>
    </row>
    <row r="514" spans="1:2" x14ac:dyDescent="0.2">
      <c r="A514" s="148" t="s">
        <v>668</v>
      </c>
      <c r="B514" s="149" t="s">
        <v>922</v>
      </c>
    </row>
    <row r="515" spans="1:2" x14ac:dyDescent="0.2">
      <c r="A515" s="148" t="s">
        <v>669</v>
      </c>
      <c r="B515" s="149" t="s">
        <v>922</v>
      </c>
    </row>
    <row r="516" spans="1:2" x14ac:dyDescent="0.2">
      <c r="A516" s="148" t="s">
        <v>670</v>
      </c>
      <c r="B516" s="149" t="s">
        <v>922</v>
      </c>
    </row>
    <row r="517" spans="1:2" x14ac:dyDescent="0.2">
      <c r="A517" s="148" t="s">
        <v>671</v>
      </c>
      <c r="B517" s="149" t="s">
        <v>922</v>
      </c>
    </row>
    <row r="518" spans="1:2" x14ac:dyDescent="0.2">
      <c r="A518" s="148" t="s">
        <v>672</v>
      </c>
      <c r="B518" s="149" t="s">
        <v>922</v>
      </c>
    </row>
    <row r="519" spans="1:2" x14ac:dyDescent="0.2">
      <c r="A519" s="148" t="s">
        <v>673</v>
      </c>
      <c r="B519" s="149" t="s">
        <v>922</v>
      </c>
    </row>
    <row r="520" spans="1:2" x14ac:dyDescent="0.2">
      <c r="A520" s="148" t="s">
        <v>674</v>
      </c>
      <c r="B520" s="149" t="s">
        <v>922</v>
      </c>
    </row>
    <row r="521" spans="1:2" x14ac:dyDescent="0.2">
      <c r="A521" s="148" t="s">
        <v>675</v>
      </c>
      <c r="B521" s="149" t="s">
        <v>922</v>
      </c>
    </row>
    <row r="522" spans="1:2" x14ac:dyDescent="0.2">
      <c r="A522" s="148" t="s">
        <v>676</v>
      </c>
      <c r="B522" s="149" t="s">
        <v>922</v>
      </c>
    </row>
    <row r="523" spans="1:2" x14ac:dyDescent="0.2">
      <c r="A523" s="148" t="s">
        <v>677</v>
      </c>
      <c r="B523" s="149" t="s">
        <v>922</v>
      </c>
    </row>
    <row r="524" spans="1:2" x14ac:dyDescent="0.2">
      <c r="A524" s="148" t="s">
        <v>678</v>
      </c>
      <c r="B524" s="149" t="s">
        <v>922</v>
      </c>
    </row>
    <row r="525" spans="1:2" x14ac:dyDescent="0.2">
      <c r="A525" s="148" t="s">
        <v>679</v>
      </c>
      <c r="B525" s="149" t="s">
        <v>922</v>
      </c>
    </row>
    <row r="526" spans="1:2" x14ac:dyDescent="0.2">
      <c r="A526" s="148" t="s">
        <v>680</v>
      </c>
      <c r="B526" s="149" t="s">
        <v>922</v>
      </c>
    </row>
    <row r="527" spans="1:2" x14ac:dyDescent="0.2">
      <c r="A527" s="148" t="s">
        <v>681</v>
      </c>
      <c r="B527" s="149" t="s">
        <v>922</v>
      </c>
    </row>
    <row r="528" spans="1:2" x14ac:dyDescent="0.2">
      <c r="A528" s="148" t="s">
        <v>682</v>
      </c>
      <c r="B528" s="149" t="s">
        <v>922</v>
      </c>
    </row>
    <row r="529" spans="1:2" x14ac:dyDescent="0.2">
      <c r="A529" s="148" t="s">
        <v>683</v>
      </c>
      <c r="B529" s="149" t="s">
        <v>922</v>
      </c>
    </row>
    <row r="530" spans="1:2" x14ac:dyDescent="0.2">
      <c r="A530" s="148" t="s">
        <v>684</v>
      </c>
      <c r="B530" s="149" t="s">
        <v>922</v>
      </c>
    </row>
    <row r="531" spans="1:2" x14ac:dyDescent="0.2">
      <c r="A531" s="148" t="s">
        <v>685</v>
      </c>
      <c r="B531" s="149" t="s">
        <v>922</v>
      </c>
    </row>
    <row r="532" spans="1:2" x14ac:dyDescent="0.2">
      <c r="A532" s="148" t="s">
        <v>686</v>
      </c>
      <c r="B532" s="149" t="s">
        <v>922</v>
      </c>
    </row>
    <row r="533" spans="1:2" x14ac:dyDescent="0.2">
      <c r="A533" s="148" t="s">
        <v>687</v>
      </c>
      <c r="B533" s="149" t="s">
        <v>922</v>
      </c>
    </row>
    <row r="534" spans="1:2" x14ac:dyDescent="0.2">
      <c r="A534" s="148" t="s">
        <v>688</v>
      </c>
      <c r="B534" s="149" t="s">
        <v>922</v>
      </c>
    </row>
    <row r="535" spans="1:2" x14ac:dyDescent="0.2">
      <c r="A535" s="148" t="s">
        <v>689</v>
      </c>
      <c r="B535" s="149" t="s">
        <v>922</v>
      </c>
    </row>
    <row r="536" spans="1:2" x14ac:dyDescent="0.2">
      <c r="A536" s="148" t="s">
        <v>690</v>
      </c>
      <c r="B536" s="149" t="s">
        <v>922</v>
      </c>
    </row>
    <row r="537" spans="1:2" x14ac:dyDescent="0.2">
      <c r="A537" s="148" t="s">
        <v>691</v>
      </c>
      <c r="B537" s="149" t="s">
        <v>922</v>
      </c>
    </row>
    <row r="538" spans="1:2" x14ac:dyDescent="0.2">
      <c r="A538" s="148" t="s">
        <v>692</v>
      </c>
      <c r="B538" s="149" t="s">
        <v>922</v>
      </c>
    </row>
    <row r="539" spans="1:2" x14ac:dyDescent="0.2">
      <c r="A539" s="148" t="s">
        <v>693</v>
      </c>
      <c r="B539" s="149" t="s">
        <v>922</v>
      </c>
    </row>
    <row r="540" spans="1:2" x14ac:dyDescent="0.2">
      <c r="A540" s="148" t="s">
        <v>694</v>
      </c>
      <c r="B540" s="149" t="s">
        <v>922</v>
      </c>
    </row>
    <row r="541" spans="1:2" x14ac:dyDescent="0.2">
      <c r="A541" s="148" t="s">
        <v>695</v>
      </c>
      <c r="B541" s="149" t="s">
        <v>922</v>
      </c>
    </row>
    <row r="542" spans="1:2" x14ac:dyDescent="0.2">
      <c r="A542" s="148" t="s">
        <v>696</v>
      </c>
      <c r="B542" s="149" t="s">
        <v>922</v>
      </c>
    </row>
    <row r="543" spans="1:2" x14ac:dyDescent="0.2">
      <c r="A543" s="148" t="s">
        <v>697</v>
      </c>
      <c r="B543" s="149" t="s">
        <v>922</v>
      </c>
    </row>
    <row r="544" spans="1:2" x14ac:dyDescent="0.2">
      <c r="A544" s="148" t="s">
        <v>698</v>
      </c>
      <c r="B544" s="149" t="s">
        <v>922</v>
      </c>
    </row>
    <row r="545" spans="1:2" x14ac:dyDescent="0.2">
      <c r="A545" s="148" t="s">
        <v>699</v>
      </c>
      <c r="B545" s="149" t="s">
        <v>922</v>
      </c>
    </row>
    <row r="546" spans="1:2" x14ac:dyDescent="0.2">
      <c r="A546" s="148" t="s">
        <v>700</v>
      </c>
      <c r="B546" s="149" t="s">
        <v>922</v>
      </c>
    </row>
    <row r="547" spans="1:2" x14ac:dyDescent="0.2">
      <c r="A547" s="148" t="s">
        <v>701</v>
      </c>
      <c r="B547" s="149" t="s">
        <v>922</v>
      </c>
    </row>
    <row r="548" spans="1:2" x14ac:dyDescent="0.2">
      <c r="A548" s="148" t="s">
        <v>702</v>
      </c>
      <c r="B548" s="149" t="s">
        <v>922</v>
      </c>
    </row>
    <row r="549" spans="1:2" x14ac:dyDescent="0.2">
      <c r="A549" s="148" t="s">
        <v>703</v>
      </c>
      <c r="B549" s="149" t="s">
        <v>922</v>
      </c>
    </row>
    <row r="550" spans="1:2" x14ac:dyDescent="0.2">
      <c r="A550" s="148" t="s">
        <v>704</v>
      </c>
      <c r="B550" s="149" t="s">
        <v>922</v>
      </c>
    </row>
    <row r="551" spans="1:2" x14ac:dyDescent="0.2">
      <c r="A551" s="148" t="s">
        <v>705</v>
      </c>
      <c r="B551" s="149" t="s">
        <v>922</v>
      </c>
    </row>
    <row r="552" spans="1:2" x14ac:dyDescent="0.2">
      <c r="A552" s="148" t="s">
        <v>706</v>
      </c>
      <c r="B552" s="149" t="s">
        <v>922</v>
      </c>
    </row>
    <row r="553" spans="1:2" x14ac:dyDescent="0.2">
      <c r="A553" s="148" t="s">
        <v>707</v>
      </c>
      <c r="B553" s="149" t="s">
        <v>922</v>
      </c>
    </row>
    <row r="554" spans="1:2" x14ac:dyDescent="0.2">
      <c r="A554" s="148" t="s">
        <v>708</v>
      </c>
      <c r="B554" s="149" t="s">
        <v>922</v>
      </c>
    </row>
    <row r="555" spans="1:2" x14ac:dyDescent="0.2">
      <c r="A555" s="148" t="s">
        <v>709</v>
      </c>
      <c r="B555" s="149" t="s">
        <v>922</v>
      </c>
    </row>
    <row r="556" spans="1:2" x14ac:dyDescent="0.2">
      <c r="A556" s="148" t="s">
        <v>710</v>
      </c>
      <c r="B556" s="149" t="s">
        <v>922</v>
      </c>
    </row>
    <row r="557" spans="1:2" x14ac:dyDescent="0.2">
      <c r="A557" s="148" t="s">
        <v>711</v>
      </c>
      <c r="B557" s="149" t="s">
        <v>922</v>
      </c>
    </row>
    <row r="558" spans="1:2" x14ac:dyDescent="0.2">
      <c r="A558" s="148" t="s">
        <v>712</v>
      </c>
      <c r="B558" s="149" t="s">
        <v>922</v>
      </c>
    </row>
    <row r="559" spans="1:2" x14ac:dyDescent="0.2">
      <c r="A559" s="148" t="s">
        <v>713</v>
      </c>
      <c r="B559" s="149" t="s">
        <v>922</v>
      </c>
    </row>
    <row r="560" spans="1:2" x14ac:dyDescent="0.2">
      <c r="A560" s="148" t="s">
        <v>714</v>
      </c>
      <c r="B560" s="149" t="s">
        <v>922</v>
      </c>
    </row>
    <row r="561" spans="1:2" x14ac:dyDescent="0.2">
      <c r="A561" s="148" t="s">
        <v>715</v>
      </c>
      <c r="B561" s="149" t="s">
        <v>922</v>
      </c>
    </row>
    <row r="562" spans="1:2" x14ac:dyDescent="0.2">
      <c r="A562" s="148" t="s">
        <v>716</v>
      </c>
      <c r="B562" s="149" t="s">
        <v>922</v>
      </c>
    </row>
    <row r="563" spans="1:2" x14ac:dyDescent="0.2">
      <c r="A563" s="148" t="s">
        <v>717</v>
      </c>
      <c r="B563" s="149" t="s">
        <v>922</v>
      </c>
    </row>
    <row r="564" spans="1:2" x14ac:dyDescent="0.2">
      <c r="A564" s="148" t="s">
        <v>718</v>
      </c>
      <c r="B564" s="149" t="s">
        <v>922</v>
      </c>
    </row>
    <row r="565" spans="1:2" x14ac:dyDescent="0.2">
      <c r="A565" s="148" t="s">
        <v>719</v>
      </c>
      <c r="B565" s="149" t="s">
        <v>922</v>
      </c>
    </row>
    <row r="566" spans="1:2" x14ac:dyDescent="0.2">
      <c r="A566" s="148" t="s">
        <v>720</v>
      </c>
      <c r="B566" s="149" t="s">
        <v>922</v>
      </c>
    </row>
    <row r="567" spans="1:2" x14ac:dyDescent="0.2">
      <c r="A567" s="148" t="s">
        <v>721</v>
      </c>
      <c r="B567" s="149" t="s">
        <v>922</v>
      </c>
    </row>
    <row r="568" spans="1:2" x14ac:dyDescent="0.2">
      <c r="A568" s="148" t="s">
        <v>722</v>
      </c>
      <c r="B568" s="149" t="s">
        <v>922</v>
      </c>
    </row>
    <row r="569" spans="1:2" x14ac:dyDescent="0.2">
      <c r="A569" s="148" t="s">
        <v>723</v>
      </c>
      <c r="B569" s="149" t="s">
        <v>922</v>
      </c>
    </row>
    <row r="570" spans="1:2" x14ac:dyDescent="0.2">
      <c r="A570" s="148" t="s">
        <v>724</v>
      </c>
      <c r="B570" s="149" t="s">
        <v>922</v>
      </c>
    </row>
    <row r="571" spans="1:2" x14ac:dyDescent="0.2">
      <c r="A571" s="148" t="s">
        <v>725</v>
      </c>
      <c r="B571" s="149" t="s">
        <v>922</v>
      </c>
    </row>
    <row r="572" spans="1:2" x14ac:dyDescent="0.2">
      <c r="A572" s="148" t="s">
        <v>726</v>
      </c>
      <c r="B572" s="149" t="s">
        <v>922</v>
      </c>
    </row>
    <row r="573" spans="1:2" x14ac:dyDescent="0.2">
      <c r="A573" s="148" t="s">
        <v>727</v>
      </c>
      <c r="B573" s="149" t="s">
        <v>922</v>
      </c>
    </row>
    <row r="574" spans="1:2" x14ac:dyDescent="0.2">
      <c r="A574" s="148" t="s">
        <v>728</v>
      </c>
      <c r="B574" s="149" t="s">
        <v>922</v>
      </c>
    </row>
    <row r="575" spans="1:2" x14ac:dyDescent="0.2">
      <c r="A575" s="148" t="s">
        <v>729</v>
      </c>
      <c r="B575" s="149" t="s">
        <v>922</v>
      </c>
    </row>
    <row r="576" spans="1:2" x14ac:dyDescent="0.2">
      <c r="A576" s="148" t="s">
        <v>730</v>
      </c>
      <c r="B576" s="149" t="s">
        <v>922</v>
      </c>
    </row>
    <row r="577" spans="1:2" x14ac:dyDescent="0.2">
      <c r="A577" s="148" t="s">
        <v>731</v>
      </c>
      <c r="B577" s="149" t="s">
        <v>922</v>
      </c>
    </row>
    <row r="578" spans="1:2" x14ac:dyDescent="0.2">
      <c r="A578" s="148" t="s">
        <v>732</v>
      </c>
      <c r="B578" s="149" t="s">
        <v>922</v>
      </c>
    </row>
    <row r="579" spans="1:2" x14ac:dyDescent="0.2">
      <c r="A579" s="148" t="s">
        <v>733</v>
      </c>
      <c r="B579" s="149" t="s">
        <v>922</v>
      </c>
    </row>
    <row r="580" spans="1:2" x14ac:dyDescent="0.2">
      <c r="A580" s="148" t="s">
        <v>734</v>
      </c>
      <c r="B580" s="149" t="s">
        <v>922</v>
      </c>
    </row>
    <row r="581" spans="1:2" x14ac:dyDescent="0.2">
      <c r="A581" s="148" t="s">
        <v>735</v>
      </c>
      <c r="B581" s="149" t="s">
        <v>922</v>
      </c>
    </row>
    <row r="582" spans="1:2" x14ac:dyDescent="0.2">
      <c r="A582" s="148" t="s">
        <v>736</v>
      </c>
      <c r="B582" s="149" t="s">
        <v>922</v>
      </c>
    </row>
    <row r="583" spans="1:2" x14ac:dyDescent="0.2">
      <c r="A583" s="148" t="s">
        <v>737</v>
      </c>
      <c r="B583" s="149" t="s">
        <v>922</v>
      </c>
    </row>
    <row r="584" spans="1:2" x14ac:dyDescent="0.2">
      <c r="A584" s="148" t="s">
        <v>738</v>
      </c>
      <c r="B584" s="149" t="s">
        <v>922</v>
      </c>
    </row>
    <row r="585" spans="1:2" x14ac:dyDescent="0.2">
      <c r="A585" s="148" t="s">
        <v>739</v>
      </c>
      <c r="B585" s="149" t="s">
        <v>922</v>
      </c>
    </row>
    <row r="586" spans="1:2" x14ac:dyDescent="0.2">
      <c r="A586" s="148" t="s">
        <v>740</v>
      </c>
      <c r="B586" s="149" t="s">
        <v>922</v>
      </c>
    </row>
    <row r="587" spans="1:2" x14ac:dyDescent="0.2">
      <c r="A587" s="148" t="s">
        <v>741</v>
      </c>
      <c r="B587" s="149" t="s">
        <v>922</v>
      </c>
    </row>
    <row r="588" spans="1:2" x14ac:dyDescent="0.2">
      <c r="A588" s="148" t="s">
        <v>742</v>
      </c>
      <c r="B588" s="149" t="s">
        <v>922</v>
      </c>
    </row>
    <row r="589" spans="1:2" x14ac:dyDescent="0.2">
      <c r="A589" s="148" t="s">
        <v>743</v>
      </c>
      <c r="B589" s="149" t="s">
        <v>922</v>
      </c>
    </row>
    <row r="590" spans="1:2" x14ac:dyDescent="0.2">
      <c r="A590" s="148" t="s">
        <v>744</v>
      </c>
      <c r="B590" s="149" t="s">
        <v>922</v>
      </c>
    </row>
    <row r="591" spans="1:2" x14ac:dyDescent="0.2">
      <c r="A591" s="148" t="s">
        <v>745</v>
      </c>
      <c r="B591" s="149" t="s">
        <v>922</v>
      </c>
    </row>
    <row r="592" spans="1:2" x14ac:dyDescent="0.2">
      <c r="A592" s="148" t="s">
        <v>746</v>
      </c>
      <c r="B592" s="149" t="s">
        <v>922</v>
      </c>
    </row>
    <row r="593" spans="1:2" x14ac:dyDescent="0.2">
      <c r="A593" s="148" t="s">
        <v>747</v>
      </c>
      <c r="B593" s="149" t="s">
        <v>922</v>
      </c>
    </row>
    <row r="594" spans="1:2" x14ac:dyDescent="0.2">
      <c r="A594" s="148" t="s">
        <v>748</v>
      </c>
      <c r="B594" s="149" t="s">
        <v>922</v>
      </c>
    </row>
    <row r="595" spans="1:2" x14ac:dyDescent="0.2">
      <c r="A595" s="148" t="s">
        <v>749</v>
      </c>
      <c r="B595" s="149" t="s">
        <v>922</v>
      </c>
    </row>
    <row r="596" spans="1:2" x14ac:dyDescent="0.2">
      <c r="A596" s="148" t="s">
        <v>750</v>
      </c>
      <c r="B596" s="149" t="s">
        <v>922</v>
      </c>
    </row>
    <row r="597" spans="1:2" x14ac:dyDescent="0.2">
      <c r="A597" s="148" t="s">
        <v>751</v>
      </c>
      <c r="B597" s="149" t="s">
        <v>922</v>
      </c>
    </row>
    <row r="598" spans="1:2" x14ac:dyDescent="0.2">
      <c r="A598" s="148" t="s">
        <v>752</v>
      </c>
      <c r="B598" s="149" t="s">
        <v>922</v>
      </c>
    </row>
    <row r="599" spans="1:2" x14ac:dyDescent="0.2">
      <c r="A599" s="148" t="s">
        <v>753</v>
      </c>
      <c r="B599" s="149" t="s">
        <v>922</v>
      </c>
    </row>
    <row r="600" spans="1:2" x14ac:dyDescent="0.2">
      <c r="A600" s="148" t="s">
        <v>754</v>
      </c>
      <c r="B600" s="149" t="s">
        <v>922</v>
      </c>
    </row>
    <row r="601" spans="1:2" x14ac:dyDescent="0.2">
      <c r="A601" s="148" t="s">
        <v>755</v>
      </c>
      <c r="B601" s="149" t="s">
        <v>922</v>
      </c>
    </row>
    <row r="602" spans="1:2" x14ac:dyDescent="0.2">
      <c r="A602" s="148" t="s">
        <v>756</v>
      </c>
      <c r="B602" s="149" t="s">
        <v>922</v>
      </c>
    </row>
    <row r="603" spans="1:2" x14ac:dyDescent="0.2">
      <c r="A603" s="148" t="s">
        <v>757</v>
      </c>
      <c r="B603" s="149" t="s">
        <v>922</v>
      </c>
    </row>
    <row r="604" spans="1:2" x14ac:dyDescent="0.2">
      <c r="A604" s="148" t="s">
        <v>758</v>
      </c>
      <c r="B604" s="149" t="s">
        <v>922</v>
      </c>
    </row>
    <row r="605" spans="1:2" x14ac:dyDescent="0.2">
      <c r="A605" s="148" t="s">
        <v>759</v>
      </c>
      <c r="B605" s="149" t="s">
        <v>922</v>
      </c>
    </row>
    <row r="606" spans="1:2" x14ac:dyDescent="0.2">
      <c r="A606" s="148" t="s">
        <v>760</v>
      </c>
      <c r="B606" s="149" t="s">
        <v>922</v>
      </c>
    </row>
    <row r="607" spans="1:2" x14ac:dyDescent="0.2">
      <c r="A607" s="148" t="s">
        <v>761</v>
      </c>
      <c r="B607" s="149" t="s">
        <v>922</v>
      </c>
    </row>
    <row r="608" spans="1:2" x14ac:dyDescent="0.2">
      <c r="A608" s="148" t="s">
        <v>762</v>
      </c>
      <c r="B608" s="149" t="s">
        <v>922</v>
      </c>
    </row>
    <row r="609" spans="1:2" x14ac:dyDescent="0.2">
      <c r="A609" s="148" t="s">
        <v>763</v>
      </c>
      <c r="B609" s="149" t="s">
        <v>922</v>
      </c>
    </row>
    <row r="610" spans="1:2" x14ac:dyDescent="0.2">
      <c r="A610" s="148" t="s">
        <v>764</v>
      </c>
      <c r="B610" s="149" t="s">
        <v>922</v>
      </c>
    </row>
    <row r="611" spans="1:2" x14ac:dyDescent="0.2">
      <c r="A611" s="148" t="s">
        <v>765</v>
      </c>
      <c r="B611" s="149" t="s">
        <v>922</v>
      </c>
    </row>
    <row r="612" spans="1:2" x14ac:dyDescent="0.2">
      <c r="A612" s="148" t="s">
        <v>766</v>
      </c>
      <c r="B612" s="149" t="s">
        <v>922</v>
      </c>
    </row>
    <row r="613" spans="1:2" x14ac:dyDescent="0.2">
      <c r="A613" s="148" t="s">
        <v>767</v>
      </c>
      <c r="B613" s="149" t="s">
        <v>922</v>
      </c>
    </row>
    <row r="614" spans="1:2" x14ac:dyDescent="0.2">
      <c r="A614" s="148" t="s">
        <v>768</v>
      </c>
      <c r="B614" s="149" t="s">
        <v>922</v>
      </c>
    </row>
    <row r="615" spans="1:2" x14ac:dyDescent="0.2">
      <c r="A615" s="148" t="s">
        <v>769</v>
      </c>
      <c r="B615" s="149" t="s">
        <v>922</v>
      </c>
    </row>
    <row r="616" spans="1:2" x14ac:dyDescent="0.2">
      <c r="A616" s="148" t="s">
        <v>770</v>
      </c>
      <c r="B616" s="149" t="s">
        <v>922</v>
      </c>
    </row>
    <row r="617" spans="1:2" x14ac:dyDescent="0.2">
      <c r="A617" s="148" t="s">
        <v>771</v>
      </c>
      <c r="B617" s="149" t="s">
        <v>922</v>
      </c>
    </row>
    <row r="618" spans="1:2" x14ac:dyDescent="0.2">
      <c r="A618" s="148" t="s">
        <v>772</v>
      </c>
      <c r="B618" s="149" t="s">
        <v>922</v>
      </c>
    </row>
    <row r="619" spans="1:2" x14ac:dyDescent="0.2">
      <c r="A619" s="148" t="s">
        <v>773</v>
      </c>
      <c r="B619" s="149" t="s">
        <v>922</v>
      </c>
    </row>
    <row r="620" spans="1:2" x14ac:dyDescent="0.2">
      <c r="A620" s="148" t="s">
        <v>774</v>
      </c>
      <c r="B620" s="149" t="s">
        <v>922</v>
      </c>
    </row>
    <row r="621" spans="1:2" x14ac:dyDescent="0.2">
      <c r="A621" s="148" t="s">
        <v>775</v>
      </c>
      <c r="B621" s="149" t="s">
        <v>922</v>
      </c>
    </row>
    <row r="622" spans="1:2" x14ac:dyDescent="0.2">
      <c r="A622" s="148" t="s">
        <v>776</v>
      </c>
      <c r="B622" s="149" t="s">
        <v>922</v>
      </c>
    </row>
    <row r="623" spans="1:2" x14ac:dyDescent="0.2">
      <c r="A623" s="148" t="s">
        <v>777</v>
      </c>
      <c r="B623" s="149" t="s">
        <v>922</v>
      </c>
    </row>
    <row r="624" spans="1:2" x14ac:dyDescent="0.2">
      <c r="A624" s="148" t="s">
        <v>778</v>
      </c>
      <c r="B624" s="149" t="s">
        <v>922</v>
      </c>
    </row>
    <row r="625" spans="1:2" x14ac:dyDescent="0.2">
      <c r="A625" s="148" t="s">
        <v>779</v>
      </c>
      <c r="B625" s="149" t="s">
        <v>922</v>
      </c>
    </row>
    <row r="626" spans="1:2" x14ac:dyDescent="0.2">
      <c r="A626" s="148" t="s">
        <v>780</v>
      </c>
      <c r="B626" s="149" t="s">
        <v>922</v>
      </c>
    </row>
    <row r="627" spans="1:2" x14ac:dyDescent="0.2">
      <c r="A627" s="148" t="s">
        <v>781</v>
      </c>
      <c r="B627" s="149" t="s">
        <v>922</v>
      </c>
    </row>
    <row r="628" spans="1:2" x14ac:dyDescent="0.2">
      <c r="A628" s="148" t="s">
        <v>782</v>
      </c>
      <c r="B628" s="149" t="s">
        <v>922</v>
      </c>
    </row>
    <row r="629" spans="1:2" x14ac:dyDescent="0.2">
      <c r="A629" s="148" t="s">
        <v>783</v>
      </c>
      <c r="B629" s="149" t="s">
        <v>922</v>
      </c>
    </row>
    <row r="630" spans="1:2" x14ac:dyDescent="0.2">
      <c r="A630" s="148" t="s">
        <v>784</v>
      </c>
      <c r="B630" s="149" t="s">
        <v>922</v>
      </c>
    </row>
    <row r="631" spans="1:2" x14ac:dyDescent="0.2">
      <c r="A631" s="148" t="s">
        <v>785</v>
      </c>
      <c r="B631" s="149" t="s">
        <v>922</v>
      </c>
    </row>
    <row r="632" spans="1:2" x14ac:dyDescent="0.2">
      <c r="A632" s="148" t="s">
        <v>786</v>
      </c>
      <c r="B632" s="149" t="s">
        <v>922</v>
      </c>
    </row>
    <row r="633" spans="1:2" x14ac:dyDescent="0.2">
      <c r="A633" s="148" t="s">
        <v>787</v>
      </c>
      <c r="B633" s="149" t="s">
        <v>922</v>
      </c>
    </row>
    <row r="634" spans="1:2" x14ac:dyDescent="0.2">
      <c r="A634" s="148" t="s">
        <v>788</v>
      </c>
      <c r="B634" s="149" t="s">
        <v>922</v>
      </c>
    </row>
    <row r="635" spans="1:2" x14ac:dyDescent="0.2">
      <c r="A635" s="148" t="s">
        <v>789</v>
      </c>
      <c r="B635" s="149" t="s">
        <v>922</v>
      </c>
    </row>
    <row r="636" spans="1:2" x14ac:dyDescent="0.2">
      <c r="A636" s="148" t="s">
        <v>790</v>
      </c>
      <c r="B636" s="149" t="s">
        <v>922</v>
      </c>
    </row>
    <row r="637" spans="1:2" x14ac:dyDescent="0.2">
      <c r="A637" s="148" t="s">
        <v>791</v>
      </c>
      <c r="B637" s="149" t="s">
        <v>922</v>
      </c>
    </row>
    <row r="638" spans="1:2" x14ac:dyDescent="0.2">
      <c r="A638" s="148" t="s">
        <v>792</v>
      </c>
      <c r="B638" s="149" t="s">
        <v>922</v>
      </c>
    </row>
    <row r="639" spans="1:2" x14ac:dyDescent="0.2">
      <c r="A639" s="148" t="s">
        <v>793</v>
      </c>
      <c r="B639" s="149" t="s">
        <v>922</v>
      </c>
    </row>
    <row r="640" spans="1:2" x14ac:dyDescent="0.2">
      <c r="A640" s="148" t="s">
        <v>794</v>
      </c>
      <c r="B640" s="149" t="s">
        <v>922</v>
      </c>
    </row>
    <row r="641" spans="1:2" x14ac:dyDescent="0.2">
      <c r="A641" s="148" t="s">
        <v>795</v>
      </c>
      <c r="B641" s="149" t="s">
        <v>922</v>
      </c>
    </row>
    <row r="642" spans="1:2" x14ac:dyDescent="0.2">
      <c r="A642" s="148" t="s">
        <v>796</v>
      </c>
      <c r="B642" s="149" t="s">
        <v>922</v>
      </c>
    </row>
    <row r="643" spans="1:2" x14ac:dyDescent="0.2">
      <c r="A643" s="148" t="s">
        <v>797</v>
      </c>
      <c r="B643" s="149" t="s">
        <v>922</v>
      </c>
    </row>
    <row r="644" spans="1:2" x14ac:dyDescent="0.2">
      <c r="A644" s="148" t="s">
        <v>798</v>
      </c>
      <c r="B644" s="149" t="s">
        <v>922</v>
      </c>
    </row>
    <row r="645" spans="1:2" x14ac:dyDescent="0.2">
      <c r="A645" s="148" t="s">
        <v>799</v>
      </c>
      <c r="B645" s="149" t="s">
        <v>922</v>
      </c>
    </row>
    <row r="646" spans="1:2" x14ac:dyDescent="0.2">
      <c r="A646" s="148" t="s">
        <v>800</v>
      </c>
      <c r="B646" s="149" t="s">
        <v>922</v>
      </c>
    </row>
    <row r="647" spans="1:2" x14ac:dyDescent="0.2">
      <c r="A647" s="148" t="s">
        <v>801</v>
      </c>
      <c r="B647" s="149" t="s">
        <v>922</v>
      </c>
    </row>
    <row r="648" spans="1:2" x14ac:dyDescent="0.2">
      <c r="A648" s="148" t="s">
        <v>802</v>
      </c>
      <c r="B648" s="149" t="s">
        <v>922</v>
      </c>
    </row>
    <row r="649" spans="1:2" x14ac:dyDescent="0.2">
      <c r="A649" s="148" t="s">
        <v>803</v>
      </c>
      <c r="B649" s="149" t="s">
        <v>922</v>
      </c>
    </row>
    <row r="650" spans="1:2" x14ac:dyDescent="0.2">
      <c r="A650" s="148" t="s">
        <v>804</v>
      </c>
      <c r="B650" s="149" t="s">
        <v>922</v>
      </c>
    </row>
    <row r="651" spans="1:2" x14ac:dyDescent="0.2">
      <c r="A651" s="148" t="s">
        <v>805</v>
      </c>
      <c r="B651" s="149" t="s">
        <v>922</v>
      </c>
    </row>
    <row r="652" spans="1:2" x14ac:dyDescent="0.2">
      <c r="A652" s="148" t="s">
        <v>806</v>
      </c>
      <c r="B652" s="149" t="s">
        <v>922</v>
      </c>
    </row>
    <row r="653" spans="1:2" x14ac:dyDescent="0.2">
      <c r="A653" s="148" t="s">
        <v>807</v>
      </c>
      <c r="B653" s="149" t="s">
        <v>922</v>
      </c>
    </row>
    <row r="654" spans="1:2" x14ac:dyDescent="0.2">
      <c r="A654" s="148" t="s">
        <v>808</v>
      </c>
      <c r="B654" s="149" t="s">
        <v>922</v>
      </c>
    </row>
    <row r="655" spans="1:2" x14ac:dyDescent="0.2">
      <c r="A655" s="148" t="s">
        <v>809</v>
      </c>
      <c r="B655" s="149" t="s">
        <v>922</v>
      </c>
    </row>
    <row r="656" spans="1:2" x14ac:dyDescent="0.2">
      <c r="A656" s="148" t="s">
        <v>810</v>
      </c>
      <c r="B656" s="149" t="s">
        <v>922</v>
      </c>
    </row>
    <row r="657" spans="1:2" x14ac:dyDescent="0.2">
      <c r="A657" s="148" t="s">
        <v>811</v>
      </c>
      <c r="B657" s="149" t="s">
        <v>922</v>
      </c>
    </row>
    <row r="658" spans="1:2" x14ac:dyDescent="0.2">
      <c r="A658" s="148" t="s">
        <v>812</v>
      </c>
      <c r="B658" s="149" t="s">
        <v>922</v>
      </c>
    </row>
    <row r="659" spans="1:2" x14ac:dyDescent="0.2">
      <c r="A659" s="148" t="s">
        <v>813</v>
      </c>
      <c r="B659" s="149" t="s">
        <v>922</v>
      </c>
    </row>
    <row r="660" spans="1:2" x14ac:dyDescent="0.2">
      <c r="A660" s="148" t="s">
        <v>814</v>
      </c>
      <c r="B660" s="149" t="s">
        <v>922</v>
      </c>
    </row>
    <row r="661" spans="1:2" x14ac:dyDescent="0.2">
      <c r="A661" s="148" t="s">
        <v>815</v>
      </c>
      <c r="B661" s="149" t="s">
        <v>922</v>
      </c>
    </row>
    <row r="662" spans="1:2" x14ac:dyDescent="0.2">
      <c r="A662" s="148" t="s">
        <v>816</v>
      </c>
      <c r="B662" s="149" t="s">
        <v>922</v>
      </c>
    </row>
    <row r="663" spans="1:2" x14ac:dyDescent="0.2">
      <c r="A663" s="148" t="s">
        <v>817</v>
      </c>
      <c r="B663" s="149" t="s">
        <v>922</v>
      </c>
    </row>
    <row r="664" spans="1:2" x14ac:dyDescent="0.2">
      <c r="A664" s="148" t="s">
        <v>818</v>
      </c>
      <c r="B664" s="149" t="s">
        <v>922</v>
      </c>
    </row>
    <row r="665" spans="1:2" x14ac:dyDescent="0.2">
      <c r="A665" s="148" t="s">
        <v>819</v>
      </c>
      <c r="B665" s="149" t="s">
        <v>922</v>
      </c>
    </row>
    <row r="666" spans="1:2" x14ac:dyDescent="0.2">
      <c r="A666" s="148" t="s">
        <v>820</v>
      </c>
      <c r="B666" s="149" t="s">
        <v>922</v>
      </c>
    </row>
    <row r="667" spans="1:2" x14ac:dyDescent="0.2">
      <c r="A667" s="148" t="s">
        <v>821</v>
      </c>
      <c r="B667" s="149" t="s">
        <v>922</v>
      </c>
    </row>
    <row r="668" spans="1:2" x14ac:dyDescent="0.2">
      <c r="A668" s="148" t="s">
        <v>822</v>
      </c>
      <c r="B668" s="149" t="s">
        <v>922</v>
      </c>
    </row>
    <row r="669" spans="1:2" x14ac:dyDescent="0.2">
      <c r="A669" s="148" t="s">
        <v>823</v>
      </c>
      <c r="B669" s="149" t="s">
        <v>922</v>
      </c>
    </row>
    <row r="670" spans="1:2" x14ac:dyDescent="0.2">
      <c r="A670" s="148" t="s">
        <v>824</v>
      </c>
      <c r="B670" s="149" t="s">
        <v>922</v>
      </c>
    </row>
    <row r="671" spans="1:2" x14ac:dyDescent="0.2">
      <c r="A671" s="148" t="s">
        <v>825</v>
      </c>
      <c r="B671" s="149" t="s">
        <v>922</v>
      </c>
    </row>
    <row r="672" spans="1:2" x14ac:dyDescent="0.2">
      <c r="A672" s="148" t="s">
        <v>826</v>
      </c>
      <c r="B672" s="149" t="s">
        <v>922</v>
      </c>
    </row>
    <row r="673" spans="1:2" x14ac:dyDescent="0.2">
      <c r="A673" s="148" t="s">
        <v>827</v>
      </c>
      <c r="B673" s="149" t="s">
        <v>922</v>
      </c>
    </row>
    <row r="674" spans="1:2" x14ac:dyDescent="0.2">
      <c r="A674" s="148" t="s">
        <v>828</v>
      </c>
      <c r="B674" s="149" t="s">
        <v>922</v>
      </c>
    </row>
    <row r="675" spans="1:2" x14ac:dyDescent="0.2">
      <c r="A675" s="148" t="s">
        <v>829</v>
      </c>
      <c r="B675" s="149" t="s">
        <v>922</v>
      </c>
    </row>
    <row r="676" spans="1:2" x14ac:dyDescent="0.2">
      <c r="A676" s="148" t="s">
        <v>830</v>
      </c>
      <c r="B676" s="149" t="s">
        <v>922</v>
      </c>
    </row>
    <row r="677" spans="1:2" x14ac:dyDescent="0.2">
      <c r="A677" s="148" t="s">
        <v>831</v>
      </c>
      <c r="B677" s="149" t="s">
        <v>922</v>
      </c>
    </row>
    <row r="678" spans="1:2" x14ac:dyDescent="0.2">
      <c r="A678" s="148" t="s">
        <v>832</v>
      </c>
      <c r="B678" s="149" t="s">
        <v>922</v>
      </c>
    </row>
    <row r="679" spans="1:2" x14ac:dyDescent="0.2">
      <c r="A679" s="148" t="s">
        <v>833</v>
      </c>
      <c r="B679" s="149" t="s">
        <v>922</v>
      </c>
    </row>
    <row r="680" spans="1:2" x14ac:dyDescent="0.2">
      <c r="A680" s="148" t="s">
        <v>834</v>
      </c>
      <c r="B680" s="149" t="s">
        <v>922</v>
      </c>
    </row>
    <row r="681" spans="1:2" x14ac:dyDescent="0.2">
      <c r="A681" s="148" t="s">
        <v>835</v>
      </c>
      <c r="B681" s="149" t="s">
        <v>922</v>
      </c>
    </row>
    <row r="682" spans="1:2" x14ac:dyDescent="0.2">
      <c r="A682" s="148" t="s">
        <v>836</v>
      </c>
      <c r="B682" s="149" t="s">
        <v>922</v>
      </c>
    </row>
    <row r="683" spans="1:2" x14ac:dyDescent="0.2">
      <c r="A683" s="148" t="s">
        <v>837</v>
      </c>
      <c r="B683" s="149" t="s">
        <v>922</v>
      </c>
    </row>
    <row r="684" spans="1:2" x14ac:dyDescent="0.2">
      <c r="A684" s="148" t="s">
        <v>838</v>
      </c>
      <c r="B684" s="149" t="s">
        <v>922</v>
      </c>
    </row>
    <row r="685" spans="1:2" x14ac:dyDescent="0.2">
      <c r="A685" s="148" t="s">
        <v>839</v>
      </c>
      <c r="B685" s="149" t="s">
        <v>922</v>
      </c>
    </row>
    <row r="686" spans="1:2" x14ac:dyDescent="0.2">
      <c r="A686" s="148" t="s">
        <v>840</v>
      </c>
      <c r="B686" s="149" t="s">
        <v>922</v>
      </c>
    </row>
    <row r="687" spans="1:2" x14ac:dyDescent="0.2">
      <c r="A687" s="148" t="s">
        <v>841</v>
      </c>
      <c r="B687" s="149" t="s">
        <v>922</v>
      </c>
    </row>
    <row r="688" spans="1:2" x14ac:dyDescent="0.2">
      <c r="A688" s="148" t="s">
        <v>842</v>
      </c>
      <c r="B688" s="149" t="s">
        <v>922</v>
      </c>
    </row>
    <row r="689" spans="1:2" x14ac:dyDescent="0.2">
      <c r="A689" s="148" t="s">
        <v>843</v>
      </c>
      <c r="B689" s="149" t="s">
        <v>922</v>
      </c>
    </row>
    <row r="690" spans="1:2" x14ac:dyDescent="0.2">
      <c r="A690" s="148" t="s">
        <v>844</v>
      </c>
      <c r="B690" s="149" t="s">
        <v>922</v>
      </c>
    </row>
    <row r="691" spans="1:2" x14ac:dyDescent="0.2">
      <c r="A691" s="148" t="s">
        <v>845</v>
      </c>
      <c r="B691" s="149" t="s">
        <v>922</v>
      </c>
    </row>
    <row r="692" spans="1:2" x14ac:dyDescent="0.2">
      <c r="A692" s="148" t="s">
        <v>846</v>
      </c>
      <c r="B692" s="149" t="s">
        <v>922</v>
      </c>
    </row>
    <row r="693" spans="1:2" x14ac:dyDescent="0.2">
      <c r="A693" s="148" t="s">
        <v>847</v>
      </c>
      <c r="B693" s="149" t="s">
        <v>922</v>
      </c>
    </row>
    <row r="694" spans="1:2" x14ac:dyDescent="0.2">
      <c r="A694" s="148" t="s">
        <v>848</v>
      </c>
      <c r="B694" s="149" t="s">
        <v>922</v>
      </c>
    </row>
    <row r="695" spans="1:2" x14ac:dyDescent="0.2">
      <c r="A695" s="148" t="s">
        <v>849</v>
      </c>
      <c r="B695" s="149" t="s">
        <v>922</v>
      </c>
    </row>
    <row r="696" spans="1:2" x14ac:dyDescent="0.2">
      <c r="A696" s="148" t="s">
        <v>850</v>
      </c>
      <c r="B696" s="149" t="s">
        <v>922</v>
      </c>
    </row>
    <row r="697" spans="1:2" x14ac:dyDescent="0.2">
      <c r="A697" s="148" t="s">
        <v>851</v>
      </c>
      <c r="B697" s="149" t="s">
        <v>922</v>
      </c>
    </row>
    <row r="698" spans="1:2" x14ac:dyDescent="0.2">
      <c r="A698" s="148" t="s">
        <v>852</v>
      </c>
      <c r="B698" s="149" t="s">
        <v>922</v>
      </c>
    </row>
    <row r="699" spans="1:2" x14ac:dyDescent="0.2">
      <c r="A699" s="148" t="s">
        <v>853</v>
      </c>
      <c r="B699" s="149" t="s">
        <v>922</v>
      </c>
    </row>
    <row r="700" spans="1:2" x14ac:dyDescent="0.2">
      <c r="A700" s="148" t="s">
        <v>854</v>
      </c>
      <c r="B700" s="149" t="s">
        <v>922</v>
      </c>
    </row>
    <row r="701" spans="1:2" x14ac:dyDescent="0.2">
      <c r="A701" s="148" t="s">
        <v>855</v>
      </c>
      <c r="B701" s="149" t="s">
        <v>922</v>
      </c>
    </row>
    <row r="702" spans="1:2" x14ac:dyDescent="0.2">
      <c r="A702" s="148" t="s">
        <v>856</v>
      </c>
      <c r="B702" s="149" t="s">
        <v>922</v>
      </c>
    </row>
    <row r="703" spans="1:2" x14ac:dyDescent="0.2">
      <c r="A703" s="148" t="s">
        <v>857</v>
      </c>
      <c r="B703" s="149" t="s">
        <v>922</v>
      </c>
    </row>
    <row r="704" spans="1:2" x14ac:dyDescent="0.2">
      <c r="A704" s="148" t="s">
        <v>858</v>
      </c>
      <c r="B704" s="149" t="s">
        <v>922</v>
      </c>
    </row>
    <row r="705" spans="1:2" x14ac:dyDescent="0.2">
      <c r="A705" s="148" t="s">
        <v>859</v>
      </c>
      <c r="B705" s="149" t="s">
        <v>922</v>
      </c>
    </row>
    <row r="706" spans="1:2" x14ac:dyDescent="0.2">
      <c r="A706" s="148" t="s">
        <v>860</v>
      </c>
      <c r="B706" s="149" t="s">
        <v>922</v>
      </c>
    </row>
    <row r="707" spans="1:2" x14ac:dyDescent="0.2">
      <c r="A707" s="148" t="s">
        <v>861</v>
      </c>
      <c r="B707" s="149" t="s">
        <v>922</v>
      </c>
    </row>
    <row r="708" spans="1:2" x14ac:dyDescent="0.2">
      <c r="A708" s="148" t="s">
        <v>862</v>
      </c>
      <c r="B708" s="149" t="s">
        <v>922</v>
      </c>
    </row>
    <row r="709" spans="1:2" x14ac:dyDescent="0.2">
      <c r="A709" s="148" t="s">
        <v>863</v>
      </c>
      <c r="B709" s="149" t="s">
        <v>922</v>
      </c>
    </row>
    <row r="710" spans="1:2" x14ac:dyDescent="0.2">
      <c r="A710" s="148" t="s">
        <v>864</v>
      </c>
      <c r="B710" s="149" t="s">
        <v>922</v>
      </c>
    </row>
    <row r="711" spans="1:2" x14ac:dyDescent="0.2">
      <c r="A711" s="148" t="s">
        <v>865</v>
      </c>
      <c r="B711" s="149" t="s">
        <v>922</v>
      </c>
    </row>
    <row r="712" spans="1:2" x14ac:dyDescent="0.2">
      <c r="A712" s="148" t="s">
        <v>866</v>
      </c>
      <c r="B712" s="149" t="s">
        <v>922</v>
      </c>
    </row>
    <row r="713" spans="1:2" x14ac:dyDescent="0.2">
      <c r="A713" s="148" t="s">
        <v>867</v>
      </c>
      <c r="B713" s="149" t="s">
        <v>922</v>
      </c>
    </row>
    <row r="714" spans="1:2" x14ac:dyDescent="0.2">
      <c r="A714" s="148" t="s">
        <v>868</v>
      </c>
      <c r="B714" s="149" t="s">
        <v>922</v>
      </c>
    </row>
    <row r="715" spans="1:2" x14ac:dyDescent="0.2">
      <c r="A715" s="148" t="s">
        <v>869</v>
      </c>
      <c r="B715" s="149" t="s">
        <v>922</v>
      </c>
    </row>
    <row r="716" spans="1:2" x14ac:dyDescent="0.2">
      <c r="A716" s="148" t="s">
        <v>870</v>
      </c>
      <c r="B716" s="149" t="s">
        <v>922</v>
      </c>
    </row>
    <row r="717" spans="1:2" x14ac:dyDescent="0.2">
      <c r="A717" s="148" t="s">
        <v>871</v>
      </c>
      <c r="B717" s="149" t="s">
        <v>922</v>
      </c>
    </row>
    <row r="718" spans="1:2" x14ac:dyDescent="0.2">
      <c r="A718" s="148" t="s">
        <v>872</v>
      </c>
      <c r="B718" s="149" t="s">
        <v>922</v>
      </c>
    </row>
    <row r="719" spans="1:2" x14ac:dyDescent="0.2">
      <c r="A719" s="148" t="s">
        <v>873</v>
      </c>
      <c r="B719" s="149" t="s">
        <v>922</v>
      </c>
    </row>
    <row r="720" spans="1:2" x14ac:dyDescent="0.2">
      <c r="A720" s="148" t="s">
        <v>874</v>
      </c>
      <c r="B720" s="149" t="s">
        <v>922</v>
      </c>
    </row>
    <row r="721" spans="1:2" x14ac:dyDescent="0.2">
      <c r="A721" s="148" t="s">
        <v>875</v>
      </c>
      <c r="B721" s="149" t="s">
        <v>922</v>
      </c>
    </row>
    <row r="722" spans="1:2" x14ac:dyDescent="0.2">
      <c r="A722" s="148" t="s">
        <v>876</v>
      </c>
      <c r="B722" s="149" t="s">
        <v>922</v>
      </c>
    </row>
    <row r="723" spans="1:2" x14ac:dyDescent="0.2">
      <c r="A723" s="148" t="s">
        <v>877</v>
      </c>
      <c r="B723" s="149" t="s">
        <v>922</v>
      </c>
    </row>
    <row r="724" spans="1:2" x14ac:dyDescent="0.2">
      <c r="A724" s="148" t="s">
        <v>878</v>
      </c>
      <c r="B724" s="149" t="s">
        <v>922</v>
      </c>
    </row>
    <row r="725" spans="1:2" x14ac:dyDescent="0.2">
      <c r="A725" s="148" t="s">
        <v>879</v>
      </c>
      <c r="B725" s="149" t="s">
        <v>922</v>
      </c>
    </row>
    <row r="726" spans="1:2" x14ac:dyDescent="0.2">
      <c r="A726" s="148" t="s">
        <v>880</v>
      </c>
      <c r="B726" s="149" t="s">
        <v>922</v>
      </c>
    </row>
    <row r="727" spans="1:2" x14ac:dyDescent="0.2">
      <c r="A727" s="148" t="s">
        <v>881</v>
      </c>
      <c r="B727" s="149" t="s">
        <v>922</v>
      </c>
    </row>
    <row r="728" spans="1:2" x14ac:dyDescent="0.2">
      <c r="A728" s="148" t="s">
        <v>882</v>
      </c>
      <c r="B728" s="149" t="s">
        <v>922</v>
      </c>
    </row>
    <row r="729" spans="1:2" x14ac:dyDescent="0.2">
      <c r="A729" s="148" t="s">
        <v>883</v>
      </c>
      <c r="B729" s="149" t="s">
        <v>922</v>
      </c>
    </row>
    <row r="730" spans="1:2" x14ac:dyDescent="0.2">
      <c r="A730" s="148" t="s">
        <v>884</v>
      </c>
      <c r="B730" s="149" t="s">
        <v>922</v>
      </c>
    </row>
    <row r="731" spans="1:2" x14ac:dyDescent="0.2">
      <c r="A731" s="148" t="s">
        <v>885</v>
      </c>
      <c r="B731" s="149" t="s">
        <v>922</v>
      </c>
    </row>
    <row r="732" spans="1:2" x14ac:dyDescent="0.2">
      <c r="A732" s="148" t="s">
        <v>886</v>
      </c>
      <c r="B732" s="149" t="s">
        <v>922</v>
      </c>
    </row>
    <row r="733" spans="1:2" x14ac:dyDescent="0.2">
      <c r="A733" s="148" t="s">
        <v>887</v>
      </c>
      <c r="B733" s="149" t="s">
        <v>922</v>
      </c>
    </row>
    <row r="734" spans="1:2" x14ac:dyDescent="0.2">
      <c r="A734" s="148" t="s">
        <v>923</v>
      </c>
      <c r="B734" s="149" t="s">
        <v>924</v>
      </c>
    </row>
    <row r="735" spans="1:2" x14ac:dyDescent="0.2">
      <c r="A735" s="148" t="s">
        <v>925</v>
      </c>
      <c r="B735" s="149" t="s">
        <v>926</v>
      </c>
    </row>
    <row r="736" spans="1:2" x14ac:dyDescent="0.2">
      <c r="A736" s="148" t="s">
        <v>927</v>
      </c>
      <c r="B736" s="149" t="s">
        <v>926</v>
      </c>
    </row>
    <row r="737" spans="1:2" x14ac:dyDescent="0.2">
      <c r="A737" s="148" t="s">
        <v>928</v>
      </c>
      <c r="B737" s="149" t="s">
        <v>926</v>
      </c>
    </row>
    <row r="738" spans="1:2" x14ac:dyDescent="0.2">
      <c r="A738" s="148" t="s">
        <v>929</v>
      </c>
      <c r="B738" s="149" t="s">
        <v>926</v>
      </c>
    </row>
    <row r="739" spans="1:2" x14ac:dyDescent="0.2">
      <c r="A739" s="148" t="s">
        <v>930</v>
      </c>
      <c r="B739" s="149" t="s">
        <v>926</v>
      </c>
    </row>
    <row r="740" spans="1:2" x14ac:dyDescent="0.2">
      <c r="A740" s="148" t="s">
        <v>931</v>
      </c>
      <c r="B740" s="149" t="s">
        <v>926</v>
      </c>
    </row>
    <row r="741" spans="1:2" x14ac:dyDescent="0.2">
      <c r="A741" s="148" t="s">
        <v>932</v>
      </c>
      <c r="B741" s="149" t="s">
        <v>926</v>
      </c>
    </row>
    <row r="742" spans="1:2" x14ac:dyDescent="0.2">
      <c r="A742" s="148" t="s">
        <v>933</v>
      </c>
      <c r="B742" s="149" t="s">
        <v>926</v>
      </c>
    </row>
    <row r="743" spans="1:2" x14ac:dyDescent="0.2">
      <c r="A743" s="148" t="s">
        <v>934</v>
      </c>
      <c r="B743" s="149" t="s">
        <v>926</v>
      </c>
    </row>
    <row r="744" spans="1:2" x14ac:dyDescent="0.2">
      <c r="A744" s="148" t="s">
        <v>935</v>
      </c>
      <c r="B744" s="149" t="s">
        <v>926</v>
      </c>
    </row>
    <row r="745" spans="1:2" x14ac:dyDescent="0.2">
      <c r="A745" s="148" t="s">
        <v>936</v>
      </c>
      <c r="B745" s="149" t="s">
        <v>926</v>
      </c>
    </row>
    <row r="746" spans="1:2" x14ac:dyDescent="0.2">
      <c r="A746" s="148" t="s">
        <v>937</v>
      </c>
      <c r="B746" s="149" t="s">
        <v>926</v>
      </c>
    </row>
    <row r="747" spans="1:2" x14ac:dyDescent="0.2">
      <c r="A747" s="148" t="s">
        <v>938</v>
      </c>
      <c r="B747" s="149" t="s">
        <v>926</v>
      </c>
    </row>
    <row r="748" spans="1:2" x14ac:dyDescent="0.2">
      <c r="A748" s="148" t="s">
        <v>939</v>
      </c>
      <c r="B748" s="149" t="s">
        <v>926</v>
      </c>
    </row>
    <row r="749" spans="1:2" x14ac:dyDescent="0.2">
      <c r="A749" s="148" t="s">
        <v>940</v>
      </c>
      <c r="B749" s="149" t="s">
        <v>926</v>
      </c>
    </row>
    <row r="750" spans="1:2" x14ac:dyDescent="0.2">
      <c r="A750" s="148" t="s">
        <v>941</v>
      </c>
      <c r="B750" s="149" t="s">
        <v>926</v>
      </c>
    </row>
    <row r="751" spans="1:2" x14ac:dyDescent="0.2">
      <c r="A751" s="148" t="s">
        <v>942</v>
      </c>
      <c r="B751" s="149" t="s">
        <v>926</v>
      </c>
    </row>
    <row r="752" spans="1:2" x14ac:dyDescent="0.2">
      <c r="A752" s="148" t="s">
        <v>943</v>
      </c>
      <c r="B752" s="149" t="s">
        <v>926</v>
      </c>
    </row>
    <row r="753" spans="1:2" x14ac:dyDescent="0.2">
      <c r="A753" s="148" t="s">
        <v>944</v>
      </c>
      <c r="B753" s="149" t="s">
        <v>926</v>
      </c>
    </row>
    <row r="754" spans="1:2" x14ac:dyDescent="0.2">
      <c r="A754" s="148" t="s">
        <v>945</v>
      </c>
      <c r="B754" s="149" t="s">
        <v>926</v>
      </c>
    </row>
    <row r="755" spans="1:2" x14ac:dyDescent="0.2">
      <c r="A755" s="148" t="s">
        <v>946</v>
      </c>
      <c r="B755" s="149" t="s">
        <v>926</v>
      </c>
    </row>
    <row r="756" spans="1:2" x14ac:dyDescent="0.2">
      <c r="A756" s="148" t="s">
        <v>947</v>
      </c>
      <c r="B756" s="149" t="s">
        <v>926</v>
      </c>
    </row>
    <row r="757" spans="1:2" x14ac:dyDescent="0.2">
      <c r="A757" s="148" t="s">
        <v>948</v>
      </c>
      <c r="B757" s="149" t="s">
        <v>926</v>
      </c>
    </row>
    <row r="758" spans="1:2" x14ac:dyDescent="0.2">
      <c r="A758" s="148" t="s">
        <v>949</v>
      </c>
      <c r="B758" s="149" t="s">
        <v>926</v>
      </c>
    </row>
    <row r="759" spans="1:2" x14ac:dyDescent="0.2">
      <c r="A759" s="148" t="s">
        <v>950</v>
      </c>
      <c r="B759" s="149" t="s">
        <v>926</v>
      </c>
    </row>
    <row r="760" spans="1:2" x14ac:dyDescent="0.2">
      <c r="A760" s="148" t="s">
        <v>951</v>
      </c>
      <c r="B760" s="149" t="s">
        <v>926</v>
      </c>
    </row>
    <row r="761" spans="1:2" x14ac:dyDescent="0.2">
      <c r="A761" s="148" t="s">
        <v>952</v>
      </c>
      <c r="B761" s="149" t="s">
        <v>926</v>
      </c>
    </row>
    <row r="762" spans="1:2" x14ac:dyDescent="0.2">
      <c r="A762" s="148" t="s">
        <v>953</v>
      </c>
      <c r="B762" s="149" t="s">
        <v>926</v>
      </c>
    </row>
    <row r="763" spans="1:2" x14ac:dyDescent="0.2">
      <c r="A763" s="148" t="s">
        <v>954</v>
      </c>
      <c r="B763" s="149" t="s">
        <v>926</v>
      </c>
    </row>
    <row r="764" spans="1:2" x14ac:dyDescent="0.2">
      <c r="A764" s="148" t="s">
        <v>955</v>
      </c>
      <c r="B764" s="149" t="s">
        <v>926</v>
      </c>
    </row>
    <row r="765" spans="1:2" x14ac:dyDescent="0.2">
      <c r="A765" s="148" t="s">
        <v>956</v>
      </c>
      <c r="B765" s="149" t="s">
        <v>926</v>
      </c>
    </row>
    <row r="766" spans="1:2" x14ac:dyDescent="0.2">
      <c r="A766" s="148" t="s">
        <v>957</v>
      </c>
      <c r="B766" s="149" t="s">
        <v>926</v>
      </c>
    </row>
    <row r="767" spans="1:2" x14ac:dyDescent="0.2">
      <c r="A767" s="148" t="s">
        <v>958</v>
      </c>
      <c r="B767" s="149" t="s">
        <v>926</v>
      </c>
    </row>
    <row r="768" spans="1:2" x14ac:dyDescent="0.2">
      <c r="A768" s="148" t="s">
        <v>959</v>
      </c>
      <c r="B768" s="149" t="s">
        <v>926</v>
      </c>
    </row>
    <row r="769" spans="1:2" x14ac:dyDescent="0.2">
      <c r="A769" s="148" t="s">
        <v>960</v>
      </c>
      <c r="B769" s="149" t="s">
        <v>926</v>
      </c>
    </row>
    <row r="770" spans="1:2" x14ac:dyDescent="0.2">
      <c r="A770" s="148" t="s">
        <v>961</v>
      </c>
      <c r="B770" s="149" t="s">
        <v>926</v>
      </c>
    </row>
    <row r="771" spans="1:2" x14ac:dyDescent="0.2">
      <c r="A771" s="148" t="s">
        <v>962</v>
      </c>
      <c r="B771" s="149" t="s">
        <v>926</v>
      </c>
    </row>
    <row r="772" spans="1:2" x14ac:dyDescent="0.2">
      <c r="A772" s="148" t="s">
        <v>963</v>
      </c>
      <c r="B772" s="149" t="s">
        <v>926</v>
      </c>
    </row>
    <row r="773" spans="1:2" x14ac:dyDescent="0.2">
      <c r="A773" s="148" t="s">
        <v>964</v>
      </c>
      <c r="B773" s="149" t="s">
        <v>926</v>
      </c>
    </row>
    <row r="774" spans="1:2" x14ac:dyDescent="0.2">
      <c r="A774" s="148" t="s">
        <v>965</v>
      </c>
      <c r="B774" s="149" t="s">
        <v>926</v>
      </c>
    </row>
    <row r="775" spans="1:2" x14ac:dyDescent="0.2">
      <c r="A775" s="148" t="s">
        <v>966</v>
      </c>
      <c r="B775" s="149" t="s">
        <v>926</v>
      </c>
    </row>
    <row r="776" spans="1:2" x14ac:dyDescent="0.2">
      <c r="A776" s="148" t="s">
        <v>967</v>
      </c>
      <c r="B776" s="149" t="s">
        <v>926</v>
      </c>
    </row>
    <row r="777" spans="1:2" x14ac:dyDescent="0.2">
      <c r="A777" s="148" t="s">
        <v>968</v>
      </c>
      <c r="B777" s="149" t="s">
        <v>926</v>
      </c>
    </row>
    <row r="778" spans="1:2" x14ac:dyDescent="0.2">
      <c r="A778" s="148" t="s">
        <v>969</v>
      </c>
      <c r="B778" s="149" t="s">
        <v>926</v>
      </c>
    </row>
    <row r="779" spans="1:2" x14ac:dyDescent="0.2">
      <c r="A779" s="148" t="s">
        <v>970</v>
      </c>
      <c r="B779" s="149" t="s">
        <v>926</v>
      </c>
    </row>
    <row r="780" spans="1:2" x14ac:dyDescent="0.2">
      <c r="A780" s="148" t="s">
        <v>971</v>
      </c>
      <c r="B780" s="149" t="s">
        <v>926</v>
      </c>
    </row>
    <row r="781" spans="1:2" x14ac:dyDescent="0.2">
      <c r="A781" s="148" t="s">
        <v>972</v>
      </c>
      <c r="B781" s="149" t="s">
        <v>926</v>
      </c>
    </row>
    <row r="782" spans="1:2" x14ac:dyDescent="0.2">
      <c r="A782" s="148" t="s">
        <v>973</v>
      </c>
      <c r="B782" s="149" t="s">
        <v>926</v>
      </c>
    </row>
    <row r="783" spans="1:2" x14ac:dyDescent="0.2">
      <c r="A783" s="148" t="s">
        <v>974</v>
      </c>
      <c r="B783" s="149" t="s">
        <v>926</v>
      </c>
    </row>
    <row r="784" spans="1:2" x14ac:dyDescent="0.2">
      <c r="A784" s="148" t="s">
        <v>975</v>
      </c>
      <c r="B784" s="149" t="s">
        <v>926</v>
      </c>
    </row>
    <row r="785" spans="1:2" x14ac:dyDescent="0.2">
      <c r="A785" s="148" t="s">
        <v>976</v>
      </c>
      <c r="B785" s="149" t="s">
        <v>926</v>
      </c>
    </row>
    <row r="786" spans="1:2" x14ac:dyDescent="0.2">
      <c r="A786" s="148" t="s">
        <v>977</v>
      </c>
      <c r="B786" s="149" t="s">
        <v>926</v>
      </c>
    </row>
    <row r="787" spans="1:2" x14ac:dyDescent="0.2">
      <c r="A787" s="148" t="s">
        <v>978</v>
      </c>
      <c r="B787" s="149" t="s">
        <v>926</v>
      </c>
    </row>
    <row r="788" spans="1:2" x14ac:dyDescent="0.2">
      <c r="A788" s="148" t="s">
        <v>979</v>
      </c>
      <c r="B788" s="149" t="s">
        <v>926</v>
      </c>
    </row>
    <row r="789" spans="1:2" x14ac:dyDescent="0.2">
      <c r="A789" s="148" t="s">
        <v>980</v>
      </c>
      <c r="B789" s="149" t="s">
        <v>926</v>
      </c>
    </row>
    <row r="790" spans="1:2" x14ac:dyDescent="0.2">
      <c r="A790" s="148" t="s">
        <v>981</v>
      </c>
      <c r="B790" s="149" t="s">
        <v>926</v>
      </c>
    </row>
    <row r="791" spans="1:2" x14ac:dyDescent="0.2">
      <c r="A791" s="148" t="s">
        <v>982</v>
      </c>
      <c r="B791" s="149" t="s">
        <v>926</v>
      </c>
    </row>
    <row r="792" spans="1:2" x14ac:dyDescent="0.2">
      <c r="A792" s="148" t="s">
        <v>983</v>
      </c>
      <c r="B792" s="149" t="s">
        <v>926</v>
      </c>
    </row>
    <row r="793" spans="1:2" x14ac:dyDescent="0.2">
      <c r="A793" s="148" t="s">
        <v>984</v>
      </c>
      <c r="B793" s="149" t="s">
        <v>926</v>
      </c>
    </row>
    <row r="794" spans="1:2" x14ac:dyDescent="0.2">
      <c r="A794" s="148" t="s">
        <v>985</v>
      </c>
      <c r="B794" s="149" t="s">
        <v>926</v>
      </c>
    </row>
    <row r="795" spans="1:2" x14ac:dyDescent="0.2">
      <c r="A795" s="148" t="s">
        <v>986</v>
      </c>
      <c r="B795" s="149" t="s">
        <v>926</v>
      </c>
    </row>
    <row r="796" spans="1:2" x14ac:dyDescent="0.2">
      <c r="A796" s="148" t="s">
        <v>987</v>
      </c>
      <c r="B796" s="149" t="s">
        <v>926</v>
      </c>
    </row>
    <row r="797" spans="1:2" x14ac:dyDescent="0.2">
      <c r="A797" s="148" t="s">
        <v>988</v>
      </c>
      <c r="B797" s="149" t="s">
        <v>926</v>
      </c>
    </row>
    <row r="798" spans="1:2" x14ac:dyDescent="0.2">
      <c r="A798" s="148" t="s">
        <v>989</v>
      </c>
      <c r="B798" s="149" t="s">
        <v>926</v>
      </c>
    </row>
    <row r="799" spans="1:2" x14ac:dyDescent="0.2">
      <c r="A799" s="148" t="s">
        <v>990</v>
      </c>
      <c r="B799" s="149" t="s">
        <v>926</v>
      </c>
    </row>
    <row r="800" spans="1:2" x14ac:dyDescent="0.2">
      <c r="A800" s="148" t="s">
        <v>991</v>
      </c>
      <c r="B800" s="149" t="s">
        <v>926</v>
      </c>
    </row>
    <row r="801" spans="1:2" x14ac:dyDescent="0.2">
      <c r="A801" s="148" t="s">
        <v>992</v>
      </c>
      <c r="B801" s="149" t="s">
        <v>926</v>
      </c>
    </row>
    <row r="802" spans="1:2" x14ac:dyDescent="0.2">
      <c r="A802" s="148" t="s">
        <v>993</v>
      </c>
      <c r="B802" s="149" t="s">
        <v>926</v>
      </c>
    </row>
    <row r="803" spans="1:2" x14ac:dyDescent="0.2">
      <c r="A803" s="148" t="s">
        <v>994</v>
      </c>
      <c r="B803" s="149" t="s">
        <v>926</v>
      </c>
    </row>
    <row r="804" spans="1:2" x14ac:dyDescent="0.2">
      <c r="A804" s="148" t="s">
        <v>995</v>
      </c>
      <c r="B804" s="149" t="s">
        <v>926</v>
      </c>
    </row>
    <row r="805" spans="1:2" x14ac:dyDescent="0.2">
      <c r="A805" s="148" t="s">
        <v>996</v>
      </c>
      <c r="B805" s="149" t="s">
        <v>926</v>
      </c>
    </row>
    <row r="806" spans="1:2" x14ac:dyDescent="0.2">
      <c r="A806" s="148" t="s">
        <v>997</v>
      </c>
      <c r="B806" s="149" t="s">
        <v>926</v>
      </c>
    </row>
    <row r="807" spans="1:2" x14ac:dyDescent="0.2">
      <c r="A807" s="148" t="s">
        <v>998</v>
      </c>
      <c r="B807" s="149" t="s">
        <v>926</v>
      </c>
    </row>
    <row r="808" spans="1:2" x14ac:dyDescent="0.2">
      <c r="A808" s="148" t="s">
        <v>999</v>
      </c>
      <c r="B808" s="149" t="s">
        <v>926</v>
      </c>
    </row>
    <row r="809" spans="1:2" x14ac:dyDescent="0.2">
      <c r="A809" s="148" t="s">
        <v>1000</v>
      </c>
      <c r="B809" s="149" t="s">
        <v>926</v>
      </c>
    </row>
    <row r="810" spans="1:2" x14ac:dyDescent="0.2">
      <c r="A810" s="148" t="s">
        <v>1001</v>
      </c>
      <c r="B810" s="149" t="s">
        <v>926</v>
      </c>
    </row>
    <row r="811" spans="1:2" x14ac:dyDescent="0.2">
      <c r="A811" s="148" t="s">
        <v>1002</v>
      </c>
      <c r="B811" s="149" t="s">
        <v>926</v>
      </c>
    </row>
    <row r="812" spans="1:2" x14ac:dyDescent="0.2">
      <c r="A812" s="148" t="s">
        <v>1003</v>
      </c>
      <c r="B812" s="149" t="s">
        <v>926</v>
      </c>
    </row>
    <row r="813" spans="1:2" x14ac:dyDescent="0.2">
      <c r="A813" s="148" t="s">
        <v>1004</v>
      </c>
      <c r="B813" s="149" t="s">
        <v>926</v>
      </c>
    </row>
    <row r="814" spans="1:2" x14ac:dyDescent="0.2">
      <c r="A814" s="148" t="s">
        <v>1005</v>
      </c>
      <c r="B814" s="149" t="s">
        <v>926</v>
      </c>
    </row>
    <row r="815" spans="1:2" x14ac:dyDescent="0.2">
      <c r="A815" s="148" t="s">
        <v>1006</v>
      </c>
      <c r="B815" s="149" t="s">
        <v>926</v>
      </c>
    </row>
    <row r="816" spans="1:2" x14ac:dyDescent="0.2">
      <c r="A816" s="148" t="s">
        <v>1007</v>
      </c>
      <c r="B816" s="149" t="s">
        <v>926</v>
      </c>
    </row>
    <row r="817" spans="1:2" x14ac:dyDescent="0.2">
      <c r="A817" s="148" t="s">
        <v>1008</v>
      </c>
      <c r="B817" s="149" t="s">
        <v>926</v>
      </c>
    </row>
    <row r="818" spans="1:2" x14ac:dyDescent="0.2">
      <c r="A818" s="148" t="s">
        <v>1009</v>
      </c>
      <c r="B818" s="149" t="s">
        <v>926</v>
      </c>
    </row>
    <row r="819" spans="1:2" x14ac:dyDescent="0.2">
      <c r="A819" s="148" t="s">
        <v>1010</v>
      </c>
      <c r="B819" s="149" t="s">
        <v>926</v>
      </c>
    </row>
    <row r="820" spans="1:2" x14ac:dyDescent="0.2">
      <c r="A820" s="148" t="s">
        <v>1011</v>
      </c>
      <c r="B820" s="149" t="s">
        <v>926</v>
      </c>
    </row>
    <row r="821" spans="1:2" x14ac:dyDescent="0.2">
      <c r="A821" s="148" t="s">
        <v>1012</v>
      </c>
      <c r="B821" s="149" t="s">
        <v>926</v>
      </c>
    </row>
    <row r="822" spans="1:2" x14ac:dyDescent="0.2">
      <c r="A822" s="148" t="s">
        <v>1013</v>
      </c>
      <c r="B822" s="149" t="s">
        <v>926</v>
      </c>
    </row>
    <row r="823" spans="1:2" x14ac:dyDescent="0.2">
      <c r="A823" s="148" t="s">
        <v>1014</v>
      </c>
      <c r="B823" s="149" t="s">
        <v>926</v>
      </c>
    </row>
    <row r="824" spans="1:2" x14ac:dyDescent="0.2">
      <c r="A824" s="148" t="s">
        <v>1015</v>
      </c>
      <c r="B824" s="149" t="s">
        <v>926</v>
      </c>
    </row>
    <row r="825" spans="1:2" x14ac:dyDescent="0.2">
      <c r="A825" s="148" t="s">
        <v>1016</v>
      </c>
      <c r="B825" s="149" t="s">
        <v>926</v>
      </c>
    </row>
    <row r="826" spans="1:2" x14ac:dyDescent="0.2">
      <c r="A826" s="148" t="s">
        <v>1017</v>
      </c>
      <c r="B826" s="149" t="s">
        <v>926</v>
      </c>
    </row>
    <row r="827" spans="1:2" x14ac:dyDescent="0.2">
      <c r="A827" s="148" t="s">
        <v>1018</v>
      </c>
      <c r="B827" s="149" t="s">
        <v>926</v>
      </c>
    </row>
    <row r="828" spans="1:2" x14ac:dyDescent="0.2">
      <c r="A828" s="148" t="s">
        <v>1019</v>
      </c>
      <c r="B828" s="149" t="s">
        <v>926</v>
      </c>
    </row>
    <row r="829" spans="1:2" x14ac:dyDescent="0.2">
      <c r="A829" s="148" t="s">
        <v>1020</v>
      </c>
      <c r="B829" s="149" t="s">
        <v>926</v>
      </c>
    </row>
    <row r="830" spans="1:2" x14ac:dyDescent="0.2">
      <c r="A830" s="148" t="s">
        <v>1021</v>
      </c>
      <c r="B830" s="149" t="s">
        <v>926</v>
      </c>
    </row>
    <row r="831" spans="1:2" x14ac:dyDescent="0.2">
      <c r="A831" s="148" t="s">
        <v>1022</v>
      </c>
      <c r="B831" s="149" t="s">
        <v>926</v>
      </c>
    </row>
    <row r="832" spans="1:2" x14ac:dyDescent="0.2">
      <c r="A832" s="148" t="s">
        <v>1023</v>
      </c>
      <c r="B832" s="149" t="s">
        <v>926</v>
      </c>
    </row>
    <row r="833" spans="1:2" x14ac:dyDescent="0.2">
      <c r="A833" s="148" t="s">
        <v>1024</v>
      </c>
      <c r="B833" s="149" t="s">
        <v>926</v>
      </c>
    </row>
    <row r="834" spans="1:2" x14ac:dyDescent="0.2">
      <c r="A834" s="148" t="s">
        <v>1025</v>
      </c>
      <c r="B834" s="149" t="s">
        <v>926</v>
      </c>
    </row>
    <row r="835" spans="1:2" x14ac:dyDescent="0.2">
      <c r="A835" s="148" t="s">
        <v>1026</v>
      </c>
      <c r="B835" s="149" t="s">
        <v>926</v>
      </c>
    </row>
    <row r="836" spans="1:2" x14ac:dyDescent="0.2">
      <c r="A836" s="148" t="s">
        <v>1027</v>
      </c>
      <c r="B836" s="149" t="s">
        <v>926</v>
      </c>
    </row>
    <row r="837" spans="1:2" x14ac:dyDescent="0.2">
      <c r="A837" s="148" t="s">
        <v>1028</v>
      </c>
      <c r="B837" s="149" t="s">
        <v>926</v>
      </c>
    </row>
    <row r="838" spans="1:2" x14ac:dyDescent="0.2">
      <c r="A838" s="148" t="s">
        <v>1029</v>
      </c>
      <c r="B838" s="149" t="s">
        <v>926</v>
      </c>
    </row>
    <row r="839" spans="1:2" x14ac:dyDescent="0.2">
      <c r="A839" s="148" t="s">
        <v>1030</v>
      </c>
      <c r="B839" s="149" t="s">
        <v>926</v>
      </c>
    </row>
    <row r="840" spans="1:2" x14ac:dyDescent="0.2">
      <c r="A840" s="148" t="s">
        <v>1031</v>
      </c>
      <c r="B840" s="149" t="s">
        <v>926</v>
      </c>
    </row>
    <row r="841" spans="1:2" x14ac:dyDescent="0.2">
      <c r="A841" s="148" t="s">
        <v>1032</v>
      </c>
      <c r="B841" s="149" t="s">
        <v>926</v>
      </c>
    </row>
    <row r="842" spans="1:2" x14ac:dyDescent="0.2">
      <c r="A842" s="148" t="s">
        <v>1033</v>
      </c>
      <c r="B842" s="149" t="s">
        <v>926</v>
      </c>
    </row>
    <row r="843" spans="1:2" x14ac:dyDescent="0.2">
      <c r="A843" s="148" t="s">
        <v>1034</v>
      </c>
      <c r="B843" s="149" t="s">
        <v>926</v>
      </c>
    </row>
    <row r="844" spans="1:2" x14ac:dyDescent="0.2">
      <c r="A844" s="148" t="s">
        <v>1035</v>
      </c>
      <c r="B844" s="149" t="s">
        <v>926</v>
      </c>
    </row>
    <row r="845" spans="1:2" x14ac:dyDescent="0.2">
      <c r="A845" s="148" t="s">
        <v>1036</v>
      </c>
      <c r="B845" s="149" t="s">
        <v>926</v>
      </c>
    </row>
    <row r="846" spans="1:2" x14ac:dyDescent="0.2">
      <c r="A846" s="148" t="s">
        <v>1037</v>
      </c>
      <c r="B846" s="149" t="s">
        <v>926</v>
      </c>
    </row>
    <row r="847" spans="1:2" x14ac:dyDescent="0.2">
      <c r="A847" s="148" t="s">
        <v>1038</v>
      </c>
      <c r="B847" s="149" t="s">
        <v>926</v>
      </c>
    </row>
    <row r="848" spans="1:2" x14ac:dyDescent="0.2">
      <c r="A848" s="148" t="s">
        <v>1039</v>
      </c>
      <c r="B848" s="149" t="s">
        <v>926</v>
      </c>
    </row>
    <row r="849" spans="1:2" x14ac:dyDescent="0.2">
      <c r="A849" s="148" t="s">
        <v>1040</v>
      </c>
      <c r="B849" s="149" t="s">
        <v>926</v>
      </c>
    </row>
    <row r="850" spans="1:2" x14ac:dyDescent="0.2">
      <c r="A850" s="148" t="s">
        <v>1041</v>
      </c>
      <c r="B850" s="149" t="s">
        <v>926</v>
      </c>
    </row>
    <row r="851" spans="1:2" x14ac:dyDescent="0.2">
      <c r="A851" s="148" t="s">
        <v>1042</v>
      </c>
      <c r="B851" s="149" t="s">
        <v>926</v>
      </c>
    </row>
    <row r="852" spans="1:2" x14ac:dyDescent="0.2">
      <c r="A852" s="148" t="s">
        <v>1043</v>
      </c>
      <c r="B852" s="149" t="s">
        <v>926</v>
      </c>
    </row>
    <row r="853" spans="1:2" x14ac:dyDescent="0.2">
      <c r="A853" s="148" t="s">
        <v>1044</v>
      </c>
      <c r="B853" s="149" t="s">
        <v>926</v>
      </c>
    </row>
    <row r="854" spans="1:2" x14ac:dyDescent="0.2">
      <c r="A854" s="148" t="s">
        <v>1045</v>
      </c>
      <c r="B854" s="149" t="s">
        <v>926</v>
      </c>
    </row>
    <row r="855" spans="1:2" x14ac:dyDescent="0.2">
      <c r="A855" s="148" t="s">
        <v>1046</v>
      </c>
      <c r="B855" s="149" t="s">
        <v>926</v>
      </c>
    </row>
    <row r="856" spans="1:2" x14ac:dyDescent="0.2">
      <c r="A856" s="148" t="s">
        <v>1047</v>
      </c>
      <c r="B856" s="149" t="s">
        <v>926</v>
      </c>
    </row>
    <row r="857" spans="1:2" x14ac:dyDescent="0.2">
      <c r="A857" s="148" t="s">
        <v>1048</v>
      </c>
      <c r="B857" s="149" t="s">
        <v>926</v>
      </c>
    </row>
    <row r="858" spans="1:2" x14ac:dyDescent="0.2">
      <c r="A858" s="148" t="s">
        <v>1049</v>
      </c>
      <c r="B858" s="149" t="s">
        <v>926</v>
      </c>
    </row>
    <row r="859" spans="1:2" x14ac:dyDescent="0.2">
      <c r="A859" s="148" t="s">
        <v>1050</v>
      </c>
      <c r="B859" s="149" t="s">
        <v>926</v>
      </c>
    </row>
    <row r="860" spans="1:2" x14ac:dyDescent="0.2">
      <c r="A860" s="148" t="s">
        <v>1051</v>
      </c>
      <c r="B860" s="149" t="s">
        <v>926</v>
      </c>
    </row>
    <row r="861" spans="1:2" x14ac:dyDescent="0.2">
      <c r="A861" s="148" t="s">
        <v>1052</v>
      </c>
      <c r="B861" s="149" t="s">
        <v>926</v>
      </c>
    </row>
    <row r="862" spans="1:2" x14ac:dyDescent="0.2">
      <c r="A862" s="148" t="s">
        <v>1053</v>
      </c>
      <c r="B862" s="149" t="s">
        <v>926</v>
      </c>
    </row>
    <row r="863" spans="1:2" x14ac:dyDescent="0.2">
      <c r="A863" s="148" t="s">
        <v>1054</v>
      </c>
      <c r="B863" s="149" t="s">
        <v>926</v>
      </c>
    </row>
    <row r="864" spans="1:2" x14ac:dyDescent="0.2">
      <c r="A864" s="148" t="s">
        <v>1055</v>
      </c>
      <c r="B864" s="149" t="s">
        <v>926</v>
      </c>
    </row>
    <row r="865" spans="1:2" x14ac:dyDescent="0.2">
      <c r="A865" s="148" t="s">
        <v>1056</v>
      </c>
      <c r="B865" s="149" t="s">
        <v>926</v>
      </c>
    </row>
    <row r="866" spans="1:2" x14ac:dyDescent="0.2">
      <c r="A866" s="148" t="s">
        <v>1057</v>
      </c>
      <c r="B866" s="149" t="s">
        <v>926</v>
      </c>
    </row>
    <row r="867" spans="1:2" x14ac:dyDescent="0.2">
      <c r="A867" s="148" t="s">
        <v>1058</v>
      </c>
      <c r="B867" s="149" t="s">
        <v>926</v>
      </c>
    </row>
    <row r="868" spans="1:2" x14ac:dyDescent="0.2">
      <c r="A868" s="148" t="s">
        <v>1059</v>
      </c>
      <c r="B868" s="149" t="s">
        <v>926</v>
      </c>
    </row>
    <row r="869" spans="1:2" x14ac:dyDescent="0.2">
      <c r="A869" s="148" t="s">
        <v>1060</v>
      </c>
      <c r="B869" s="149" t="s">
        <v>926</v>
      </c>
    </row>
    <row r="870" spans="1:2" x14ac:dyDescent="0.2">
      <c r="A870" s="148" t="s">
        <v>1061</v>
      </c>
      <c r="B870" s="149" t="s">
        <v>926</v>
      </c>
    </row>
    <row r="871" spans="1:2" x14ac:dyDescent="0.2">
      <c r="A871" s="148" t="s">
        <v>1062</v>
      </c>
      <c r="B871" s="149" t="s">
        <v>926</v>
      </c>
    </row>
    <row r="872" spans="1:2" x14ac:dyDescent="0.2">
      <c r="A872" s="148" t="s">
        <v>1063</v>
      </c>
      <c r="B872" s="149" t="s">
        <v>926</v>
      </c>
    </row>
    <row r="873" spans="1:2" x14ac:dyDescent="0.2">
      <c r="A873" s="148" t="s">
        <v>1064</v>
      </c>
      <c r="B873" s="149" t="s">
        <v>926</v>
      </c>
    </row>
    <row r="874" spans="1:2" x14ac:dyDescent="0.2">
      <c r="A874" s="148" t="s">
        <v>1065</v>
      </c>
      <c r="B874" s="149" t="s">
        <v>926</v>
      </c>
    </row>
    <row r="875" spans="1:2" x14ac:dyDescent="0.2">
      <c r="A875" s="148" t="s">
        <v>1066</v>
      </c>
      <c r="B875" s="149" t="s">
        <v>926</v>
      </c>
    </row>
    <row r="876" spans="1:2" x14ac:dyDescent="0.2">
      <c r="A876" s="148" t="s">
        <v>1067</v>
      </c>
      <c r="B876" s="149" t="s">
        <v>926</v>
      </c>
    </row>
    <row r="877" spans="1:2" x14ac:dyDescent="0.2">
      <c r="A877" s="148" t="s">
        <v>1068</v>
      </c>
      <c r="B877" s="149" t="s">
        <v>926</v>
      </c>
    </row>
    <row r="878" spans="1:2" x14ac:dyDescent="0.2">
      <c r="A878" s="148" t="s">
        <v>1069</v>
      </c>
      <c r="B878" s="149" t="s">
        <v>926</v>
      </c>
    </row>
    <row r="879" spans="1:2" x14ac:dyDescent="0.2">
      <c r="A879" s="148" t="s">
        <v>1070</v>
      </c>
      <c r="B879" s="149" t="s">
        <v>926</v>
      </c>
    </row>
    <row r="880" spans="1:2" x14ac:dyDescent="0.2">
      <c r="A880" s="148" t="s">
        <v>1071</v>
      </c>
      <c r="B880" s="149" t="s">
        <v>926</v>
      </c>
    </row>
    <row r="881" spans="1:2" x14ac:dyDescent="0.2">
      <c r="A881" s="148" t="s">
        <v>1072</v>
      </c>
      <c r="B881" s="149" t="s">
        <v>926</v>
      </c>
    </row>
    <row r="882" spans="1:2" x14ac:dyDescent="0.2">
      <c r="A882" s="148" t="s">
        <v>1073</v>
      </c>
      <c r="B882" s="149" t="s">
        <v>926</v>
      </c>
    </row>
    <row r="883" spans="1:2" x14ac:dyDescent="0.2">
      <c r="A883" s="148" t="s">
        <v>1074</v>
      </c>
      <c r="B883" s="149" t="s">
        <v>926</v>
      </c>
    </row>
    <row r="884" spans="1:2" x14ac:dyDescent="0.2">
      <c r="A884" s="148" t="s">
        <v>1075</v>
      </c>
      <c r="B884" s="149" t="s">
        <v>926</v>
      </c>
    </row>
    <row r="885" spans="1:2" x14ac:dyDescent="0.2">
      <c r="A885" s="148" t="s">
        <v>1076</v>
      </c>
      <c r="B885" s="149" t="s">
        <v>926</v>
      </c>
    </row>
    <row r="886" spans="1:2" x14ac:dyDescent="0.2">
      <c r="A886" s="148" t="s">
        <v>1077</v>
      </c>
      <c r="B886" s="149" t="s">
        <v>926</v>
      </c>
    </row>
    <row r="887" spans="1:2" x14ac:dyDescent="0.2">
      <c r="A887" s="148" t="s">
        <v>1078</v>
      </c>
      <c r="B887" s="149" t="s">
        <v>926</v>
      </c>
    </row>
    <row r="888" spans="1:2" x14ac:dyDescent="0.2">
      <c r="A888" s="148" t="s">
        <v>1079</v>
      </c>
      <c r="B888" s="149" t="s">
        <v>926</v>
      </c>
    </row>
    <row r="889" spans="1:2" x14ac:dyDescent="0.2">
      <c r="A889" s="148" t="s">
        <v>1080</v>
      </c>
      <c r="B889" s="149" t="s">
        <v>926</v>
      </c>
    </row>
    <row r="890" spans="1:2" x14ac:dyDescent="0.2">
      <c r="A890" s="148" t="s">
        <v>1081</v>
      </c>
      <c r="B890" s="149" t="s">
        <v>926</v>
      </c>
    </row>
    <row r="891" spans="1:2" x14ac:dyDescent="0.2">
      <c r="A891" s="148" t="s">
        <v>1082</v>
      </c>
      <c r="B891" s="149" t="s">
        <v>926</v>
      </c>
    </row>
    <row r="892" spans="1:2" x14ac:dyDescent="0.2">
      <c r="A892" s="148" t="s">
        <v>1083</v>
      </c>
      <c r="B892" s="149" t="s">
        <v>926</v>
      </c>
    </row>
    <row r="893" spans="1:2" x14ac:dyDescent="0.2">
      <c r="A893" s="148" t="s">
        <v>1084</v>
      </c>
      <c r="B893" s="149" t="s">
        <v>926</v>
      </c>
    </row>
    <row r="894" spans="1:2" x14ac:dyDescent="0.2">
      <c r="A894" s="148" t="s">
        <v>1085</v>
      </c>
      <c r="B894" s="149" t="s">
        <v>926</v>
      </c>
    </row>
    <row r="895" spans="1:2" x14ac:dyDescent="0.2">
      <c r="A895" s="148" t="s">
        <v>1086</v>
      </c>
      <c r="B895" s="149" t="s">
        <v>926</v>
      </c>
    </row>
    <row r="896" spans="1:2" x14ac:dyDescent="0.2">
      <c r="A896" s="148" t="s">
        <v>1087</v>
      </c>
      <c r="B896" s="149" t="s">
        <v>926</v>
      </c>
    </row>
    <row r="897" spans="1:2" x14ac:dyDescent="0.2">
      <c r="A897" s="148" t="s">
        <v>1088</v>
      </c>
      <c r="B897" s="149" t="s">
        <v>926</v>
      </c>
    </row>
    <row r="898" spans="1:2" x14ac:dyDescent="0.2">
      <c r="A898" s="148" t="s">
        <v>1089</v>
      </c>
      <c r="B898" s="149" t="s">
        <v>926</v>
      </c>
    </row>
    <row r="899" spans="1:2" x14ac:dyDescent="0.2">
      <c r="A899" s="148" t="s">
        <v>1090</v>
      </c>
      <c r="B899" s="149" t="s">
        <v>926</v>
      </c>
    </row>
    <row r="900" spans="1:2" x14ac:dyDescent="0.2">
      <c r="A900" s="148" t="s">
        <v>1091</v>
      </c>
      <c r="B900" s="149" t="s">
        <v>926</v>
      </c>
    </row>
    <row r="901" spans="1:2" x14ac:dyDescent="0.2">
      <c r="A901" s="148" t="s">
        <v>1092</v>
      </c>
      <c r="B901" s="149" t="s">
        <v>926</v>
      </c>
    </row>
    <row r="902" spans="1:2" x14ac:dyDescent="0.2">
      <c r="A902" s="148" t="s">
        <v>1093</v>
      </c>
      <c r="B902" s="149" t="s">
        <v>926</v>
      </c>
    </row>
    <row r="903" spans="1:2" x14ac:dyDescent="0.2">
      <c r="A903" s="148" t="s">
        <v>1094</v>
      </c>
      <c r="B903" s="149" t="s">
        <v>926</v>
      </c>
    </row>
    <row r="904" spans="1:2" x14ac:dyDescent="0.2">
      <c r="A904" s="148" t="s">
        <v>1095</v>
      </c>
      <c r="B904" s="149" t="s">
        <v>926</v>
      </c>
    </row>
    <row r="905" spans="1:2" x14ac:dyDescent="0.2">
      <c r="A905" s="148" t="s">
        <v>1096</v>
      </c>
      <c r="B905" s="149" t="s">
        <v>926</v>
      </c>
    </row>
    <row r="906" spans="1:2" x14ac:dyDescent="0.2">
      <c r="A906" s="148" t="s">
        <v>1097</v>
      </c>
      <c r="B906" s="149" t="s">
        <v>926</v>
      </c>
    </row>
    <row r="907" spans="1:2" x14ac:dyDescent="0.2">
      <c r="A907" s="148" t="s">
        <v>1098</v>
      </c>
      <c r="B907" s="149" t="s">
        <v>926</v>
      </c>
    </row>
    <row r="908" spans="1:2" x14ac:dyDescent="0.2">
      <c r="A908" s="148" t="s">
        <v>1099</v>
      </c>
      <c r="B908" s="149" t="s">
        <v>926</v>
      </c>
    </row>
    <row r="909" spans="1:2" x14ac:dyDescent="0.2">
      <c r="A909" s="148" t="s">
        <v>1100</v>
      </c>
      <c r="B909" s="149" t="s">
        <v>926</v>
      </c>
    </row>
    <row r="910" spans="1:2" x14ac:dyDescent="0.2">
      <c r="A910" s="148" t="s">
        <v>1101</v>
      </c>
      <c r="B910" s="149" t="s">
        <v>926</v>
      </c>
    </row>
    <row r="911" spans="1:2" x14ac:dyDescent="0.2">
      <c r="A911" s="148" t="s">
        <v>1102</v>
      </c>
      <c r="B911" s="149" t="s">
        <v>926</v>
      </c>
    </row>
    <row r="912" spans="1:2" x14ac:dyDescent="0.2">
      <c r="A912" s="148" t="s">
        <v>1103</v>
      </c>
      <c r="B912" s="149" t="s">
        <v>926</v>
      </c>
    </row>
    <row r="913" spans="1:2" x14ac:dyDescent="0.2">
      <c r="A913" s="148" t="s">
        <v>1104</v>
      </c>
      <c r="B913" s="149" t="s">
        <v>926</v>
      </c>
    </row>
    <row r="914" spans="1:2" x14ac:dyDescent="0.2">
      <c r="A914" s="148" t="s">
        <v>1105</v>
      </c>
      <c r="B914" s="149" t="s">
        <v>926</v>
      </c>
    </row>
    <row r="915" spans="1:2" x14ac:dyDescent="0.2">
      <c r="A915" s="148" t="s">
        <v>1106</v>
      </c>
      <c r="B915" s="149" t="s">
        <v>926</v>
      </c>
    </row>
    <row r="916" spans="1:2" x14ac:dyDescent="0.2">
      <c r="A916" s="148" t="s">
        <v>1107</v>
      </c>
      <c r="B916" s="149" t="s">
        <v>926</v>
      </c>
    </row>
    <row r="917" spans="1:2" x14ac:dyDescent="0.2">
      <c r="A917" s="148" t="s">
        <v>266</v>
      </c>
      <c r="B917" s="149" t="s">
        <v>1108</v>
      </c>
    </row>
    <row r="918" spans="1:2" x14ac:dyDescent="0.2">
      <c r="A918" s="148" t="s">
        <v>1109</v>
      </c>
      <c r="B918" s="149" t="s">
        <v>1110</v>
      </c>
    </row>
    <row r="919" spans="1:2" x14ac:dyDescent="0.2">
      <c r="A919" s="148" t="s">
        <v>1111</v>
      </c>
      <c r="B919" s="149" t="s">
        <v>1112</v>
      </c>
    </row>
    <row r="920" spans="1:2" x14ac:dyDescent="0.2">
      <c r="A920" s="148" t="s">
        <v>1113</v>
      </c>
      <c r="B920" s="149" t="s">
        <v>1114</v>
      </c>
    </row>
    <row r="921" spans="1:2" x14ac:dyDescent="0.2">
      <c r="A921" s="148" t="s">
        <v>271</v>
      </c>
      <c r="B921" s="149" t="s">
        <v>1115</v>
      </c>
    </row>
    <row r="922" spans="1:2" x14ac:dyDescent="0.2">
      <c r="A922" s="148" t="s">
        <v>893</v>
      </c>
      <c r="B922" s="149" t="s">
        <v>1116</v>
      </c>
    </row>
    <row r="923" spans="1:2" x14ac:dyDescent="0.2">
      <c r="A923" s="148" t="s">
        <v>1117</v>
      </c>
      <c r="B923" s="149" t="s">
        <v>1118</v>
      </c>
    </row>
    <row r="924" spans="1:2" x14ac:dyDescent="0.2">
      <c r="A924" s="148" t="s">
        <v>548</v>
      </c>
      <c r="B924" s="149" t="s">
        <v>1119</v>
      </c>
    </row>
    <row r="925" spans="1:2" x14ac:dyDescent="0.2">
      <c r="A925" s="148" t="s">
        <v>1120</v>
      </c>
      <c r="B925" s="149" t="s">
        <v>1121</v>
      </c>
    </row>
    <row r="926" spans="1:2" x14ac:dyDescent="0.2">
      <c r="A926" s="148" t="s">
        <v>902</v>
      </c>
      <c r="B926" s="149" t="s">
        <v>1122</v>
      </c>
    </row>
    <row r="927" spans="1:2" x14ac:dyDescent="0.2">
      <c r="A927" s="148" t="s">
        <v>1123</v>
      </c>
      <c r="B927" s="149" t="s">
        <v>1124</v>
      </c>
    </row>
    <row r="928" spans="1:2" x14ac:dyDescent="0.2">
      <c r="A928" s="148" t="s">
        <v>890</v>
      </c>
      <c r="B928" s="149" t="s">
        <v>1125</v>
      </c>
    </row>
    <row r="929" spans="1:2" x14ac:dyDescent="0.2">
      <c r="A929" s="148" t="s">
        <v>1126</v>
      </c>
      <c r="B929" s="149" t="s">
        <v>1127</v>
      </c>
    </row>
    <row r="930" spans="1:2" x14ac:dyDescent="0.2">
      <c r="A930" s="148" t="s">
        <v>1128</v>
      </c>
      <c r="B930" s="149" t="s">
        <v>1129</v>
      </c>
    </row>
    <row r="931" spans="1:2" x14ac:dyDescent="0.2">
      <c r="A931" s="148" t="s">
        <v>1130</v>
      </c>
      <c r="B931" s="149" t="s">
        <v>1131</v>
      </c>
    </row>
    <row r="932" spans="1:2" x14ac:dyDescent="0.2">
      <c r="A932" s="148" t="s">
        <v>1120</v>
      </c>
      <c r="B932" s="149" t="s">
        <v>1132</v>
      </c>
    </row>
    <row r="933" spans="1:2" x14ac:dyDescent="0.2">
      <c r="A933" s="148" t="s">
        <v>273</v>
      </c>
      <c r="B933" s="149" t="s">
        <v>1133</v>
      </c>
    </row>
    <row r="934" spans="1:2" x14ac:dyDescent="0.2">
      <c r="A934" s="148" t="s">
        <v>1134</v>
      </c>
      <c r="B934" s="149" t="s">
        <v>1135</v>
      </c>
    </row>
    <row r="935" spans="1:2" x14ac:dyDescent="0.2">
      <c r="A935" s="148" t="s">
        <v>925</v>
      </c>
      <c r="B935" s="149" t="s">
        <v>1136</v>
      </c>
    </row>
    <row r="936" spans="1:2" x14ac:dyDescent="0.2">
      <c r="A936" s="148" t="s">
        <v>927</v>
      </c>
      <c r="B936" s="149" t="s">
        <v>1136</v>
      </c>
    </row>
    <row r="937" spans="1:2" x14ac:dyDescent="0.2">
      <c r="A937" s="148" t="s">
        <v>928</v>
      </c>
      <c r="B937" s="149" t="s">
        <v>1136</v>
      </c>
    </row>
    <row r="938" spans="1:2" x14ac:dyDescent="0.2">
      <c r="A938" s="148" t="s">
        <v>929</v>
      </c>
      <c r="B938" s="149" t="s">
        <v>1136</v>
      </c>
    </row>
    <row r="939" spans="1:2" x14ac:dyDescent="0.2">
      <c r="A939" s="148" t="s">
        <v>930</v>
      </c>
      <c r="B939" s="149" t="s">
        <v>1136</v>
      </c>
    </row>
    <row r="940" spans="1:2" x14ac:dyDescent="0.2">
      <c r="A940" s="148" t="s">
        <v>931</v>
      </c>
      <c r="B940" s="149" t="s">
        <v>1136</v>
      </c>
    </row>
    <row r="941" spans="1:2" x14ac:dyDescent="0.2">
      <c r="A941" s="148" t="s">
        <v>932</v>
      </c>
      <c r="B941" s="149" t="s">
        <v>1136</v>
      </c>
    </row>
    <row r="942" spans="1:2" x14ac:dyDescent="0.2">
      <c r="A942" s="148" t="s">
        <v>933</v>
      </c>
      <c r="B942" s="149" t="s">
        <v>1136</v>
      </c>
    </row>
    <row r="943" spans="1:2" x14ac:dyDescent="0.2">
      <c r="A943" s="148" t="s">
        <v>934</v>
      </c>
      <c r="B943" s="149" t="s">
        <v>1136</v>
      </c>
    </row>
    <row r="944" spans="1:2" x14ac:dyDescent="0.2">
      <c r="A944" s="148" t="s">
        <v>935</v>
      </c>
      <c r="B944" s="149" t="s">
        <v>1136</v>
      </c>
    </row>
    <row r="945" spans="1:2" x14ac:dyDescent="0.2">
      <c r="A945" s="148" t="s">
        <v>936</v>
      </c>
      <c r="B945" s="149" t="s">
        <v>1136</v>
      </c>
    </row>
    <row r="946" spans="1:2" x14ac:dyDescent="0.2">
      <c r="A946" s="148" t="s">
        <v>937</v>
      </c>
      <c r="B946" s="149" t="s">
        <v>1136</v>
      </c>
    </row>
    <row r="947" spans="1:2" x14ac:dyDescent="0.2">
      <c r="A947" s="148" t="s">
        <v>938</v>
      </c>
      <c r="B947" s="149" t="s">
        <v>1136</v>
      </c>
    </row>
    <row r="948" spans="1:2" x14ac:dyDescent="0.2">
      <c r="A948" s="148" t="s">
        <v>939</v>
      </c>
      <c r="B948" s="149" t="s">
        <v>1136</v>
      </c>
    </row>
    <row r="949" spans="1:2" x14ac:dyDescent="0.2">
      <c r="A949" s="148" t="s">
        <v>940</v>
      </c>
      <c r="B949" s="149" t="s">
        <v>1136</v>
      </c>
    </row>
    <row r="950" spans="1:2" x14ac:dyDescent="0.2">
      <c r="A950" s="148" t="s">
        <v>941</v>
      </c>
      <c r="B950" s="149" t="s">
        <v>1136</v>
      </c>
    </row>
    <row r="951" spans="1:2" x14ac:dyDescent="0.2">
      <c r="A951" s="148" t="s">
        <v>942</v>
      </c>
      <c r="B951" s="149" t="s">
        <v>1136</v>
      </c>
    </row>
    <row r="952" spans="1:2" x14ac:dyDescent="0.2">
      <c r="A952" s="148" t="s">
        <v>943</v>
      </c>
      <c r="B952" s="149" t="s">
        <v>1136</v>
      </c>
    </row>
    <row r="953" spans="1:2" x14ac:dyDescent="0.2">
      <c r="A953" s="148" t="s">
        <v>944</v>
      </c>
      <c r="B953" s="149" t="s">
        <v>1136</v>
      </c>
    </row>
    <row r="954" spans="1:2" x14ac:dyDescent="0.2">
      <c r="A954" s="148" t="s">
        <v>945</v>
      </c>
      <c r="B954" s="149" t="s">
        <v>1136</v>
      </c>
    </row>
    <row r="955" spans="1:2" x14ac:dyDescent="0.2">
      <c r="A955" s="148" t="s">
        <v>946</v>
      </c>
      <c r="B955" s="149" t="s">
        <v>1136</v>
      </c>
    </row>
    <row r="956" spans="1:2" x14ac:dyDescent="0.2">
      <c r="A956" s="148" t="s">
        <v>947</v>
      </c>
      <c r="B956" s="149" t="s">
        <v>1136</v>
      </c>
    </row>
    <row r="957" spans="1:2" x14ac:dyDescent="0.2">
      <c r="A957" s="148" t="s">
        <v>948</v>
      </c>
      <c r="B957" s="149" t="s">
        <v>1136</v>
      </c>
    </row>
    <row r="958" spans="1:2" x14ac:dyDescent="0.2">
      <c r="A958" s="148" t="s">
        <v>949</v>
      </c>
      <c r="B958" s="149" t="s">
        <v>1136</v>
      </c>
    </row>
    <row r="959" spans="1:2" x14ac:dyDescent="0.2">
      <c r="A959" s="148" t="s">
        <v>950</v>
      </c>
      <c r="B959" s="149" t="s">
        <v>1136</v>
      </c>
    </row>
    <row r="960" spans="1:2" x14ac:dyDescent="0.2">
      <c r="A960" s="148" t="s">
        <v>951</v>
      </c>
      <c r="B960" s="149" t="s">
        <v>1136</v>
      </c>
    </row>
    <row r="961" spans="1:2" x14ac:dyDescent="0.2">
      <c r="A961" s="148" t="s">
        <v>952</v>
      </c>
      <c r="B961" s="149" t="s">
        <v>1136</v>
      </c>
    </row>
    <row r="962" spans="1:2" x14ac:dyDescent="0.2">
      <c r="A962" s="148" t="s">
        <v>953</v>
      </c>
      <c r="B962" s="149" t="s">
        <v>1136</v>
      </c>
    </row>
    <row r="963" spans="1:2" x14ac:dyDescent="0.2">
      <c r="A963" s="148" t="s">
        <v>954</v>
      </c>
      <c r="B963" s="149" t="s">
        <v>1136</v>
      </c>
    </row>
    <row r="964" spans="1:2" x14ac:dyDescent="0.2">
      <c r="A964" s="148" t="s">
        <v>955</v>
      </c>
      <c r="B964" s="149" t="s">
        <v>1136</v>
      </c>
    </row>
    <row r="965" spans="1:2" x14ac:dyDescent="0.2">
      <c r="A965" s="148" t="s">
        <v>956</v>
      </c>
      <c r="B965" s="149" t="s">
        <v>1136</v>
      </c>
    </row>
    <row r="966" spans="1:2" x14ac:dyDescent="0.2">
      <c r="A966" s="148" t="s">
        <v>957</v>
      </c>
      <c r="B966" s="149" t="s">
        <v>1136</v>
      </c>
    </row>
    <row r="967" spans="1:2" x14ac:dyDescent="0.2">
      <c r="A967" s="148" t="s">
        <v>958</v>
      </c>
      <c r="B967" s="149" t="s">
        <v>1136</v>
      </c>
    </row>
    <row r="968" spans="1:2" x14ac:dyDescent="0.2">
      <c r="A968" s="148" t="s">
        <v>959</v>
      </c>
      <c r="B968" s="149" t="s">
        <v>1136</v>
      </c>
    </row>
    <row r="969" spans="1:2" x14ac:dyDescent="0.2">
      <c r="A969" s="148" t="s">
        <v>960</v>
      </c>
      <c r="B969" s="149" t="s">
        <v>1136</v>
      </c>
    </row>
    <row r="970" spans="1:2" x14ac:dyDescent="0.2">
      <c r="A970" s="148" t="s">
        <v>961</v>
      </c>
      <c r="B970" s="149" t="s">
        <v>1136</v>
      </c>
    </row>
    <row r="971" spans="1:2" x14ac:dyDescent="0.2">
      <c r="A971" s="148" t="s">
        <v>962</v>
      </c>
      <c r="B971" s="149" t="s">
        <v>1136</v>
      </c>
    </row>
    <row r="972" spans="1:2" x14ac:dyDescent="0.2">
      <c r="A972" s="148" t="s">
        <v>963</v>
      </c>
      <c r="B972" s="149" t="s">
        <v>1136</v>
      </c>
    </row>
    <row r="973" spans="1:2" x14ac:dyDescent="0.2">
      <c r="A973" s="148" t="s">
        <v>964</v>
      </c>
      <c r="B973" s="149" t="s">
        <v>1136</v>
      </c>
    </row>
    <row r="974" spans="1:2" x14ac:dyDescent="0.2">
      <c r="A974" s="148" t="s">
        <v>965</v>
      </c>
      <c r="B974" s="149" t="s">
        <v>1136</v>
      </c>
    </row>
    <row r="975" spans="1:2" x14ac:dyDescent="0.2">
      <c r="A975" s="148" t="s">
        <v>966</v>
      </c>
      <c r="B975" s="149" t="s">
        <v>1136</v>
      </c>
    </row>
    <row r="976" spans="1:2" x14ac:dyDescent="0.2">
      <c r="A976" s="148" t="s">
        <v>967</v>
      </c>
      <c r="B976" s="149" t="s">
        <v>1136</v>
      </c>
    </row>
    <row r="977" spans="1:2" x14ac:dyDescent="0.2">
      <c r="A977" s="148" t="s">
        <v>968</v>
      </c>
      <c r="B977" s="149" t="s">
        <v>1136</v>
      </c>
    </row>
    <row r="978" spans="1:2" x14ac:dyDescent="0.2">
      <c r="A978" s="148" t="s">
        <v>969</v>
      </c>
      <c r="B978" s="149" t="s">
        <v>1136</v>
      </c>
    </row>
    <row r="979" spans="1:2" x14ac:dyDescent="0.2">
      <c r="A979" s="148" t="s">
        <v>970</v>
      </c>
      <c r="B979" s="149" t="s">
        <v>1136</v>
      </c>
    </row>
    <row r="980" spans="1:2" x14ac:dyDescent="0.2">
      <c r="A980" s="148" t="s">
        <v>971</v>
      </c>
      <c r="B980" s="149" t="s">
        <v>1136</v>
      </c>
    </row>
    <row r="981" spans="1:2" x14ac:dyDescent="0.2">
      <c r="A981" s="148" t="s">
        <v>972</v>
      </c>
      <c r="B981" s="149" t="s">
        <v>1136</v>
      </c>
    </row>
    <row r="982" spans="1:2" x14ac:dyDescent="0.2">
      <c r="A982" s="148" t="s">
        <v>973</v>
      </c>
      <c r="B982" s="149" t="s">
        <v>1136</v>
      </c>
    </row>
    <row r="983" spans="1:2" x14ac:dyDescent="0.2">
      <c r="A983" s="148" t="s">
        <v>974</v>
      </c>
      <c r="B983" s="149" t="s">
        <v>1136</v>
      </c>
    </row>
    <row r="984" spans="1:2" x14ac:dyDescent="0.2">
      <c r="A984" s="148" t="s">
        <v>975</v>
      </c>
      <c r="B984" s="149" t="s">
        <v>1136</v>
      </c>
    </row>
    <row r="985" spans="1:2" x14ac:dyDescent="0.2">
      <c r="A985" s="148" t="s">
        <v>976</v>
      </c>
      <c r="B985" s="149" t="s">
        <v>1136</v>
      </c>
    </row>
    <row r="986" spans="1:2" x14ac:dyDescent="0.2">
      <c r="A986" s="148" t="s">
        <v>977</v>
      </c>
      <c r="B986" s="149" t="s">
        <v>1136</v>
      </c>
    </row>
    <row r="987" spans="1:2" x14ac:dyDescent="0.2">
      <c r="A987" s="148" t="s">
        <v>978</v>
      </c>
      <c r="B987" s="149" t="s">
        <v>1136</v>
      </c>
    </row>
    <row r="988" spans="1:2" x14ac:dyDescent="0.2">
      <c r="A988" s="148" t="s">
        <v>979</v>
      </c>
      <c r="B988" s="149" t="s">
        <v>1136</v>
      </c>
    </row>
    <row r="989" spans="1:2" x14ac:dyDescent="0.2">
      <c r="A989" s="148" t="s">
        <v>980</v>
      </c>
      <c r="B989" s="149" t="s">
        <v>1136</v>
      </c>
    </row>
    <row r="990" spans="1:2" x14ac:dyDescent="0.2">
      <c r="A990" s="148" t="s">
        <v>981</v>
      </c>
      <c r="B990" s="149" t="s">
        <v>1136</v>
      </c>
    </row>
    <row r="991" spans="1:2" x14ac:dyDescent="0.2">
      <c r="A991" s="148" t="s">
        <v>982</v>
      </c>
      <c r="B991" s="149" t="s">
        <v>1136</v>
      </c>
    </row>
    <row r="992" spans="1:2" x14ac:dyDescent="0.2">
      <c r="A992" s="148" t="s">
        <v>983</v>
      </c>
      <c r="B992" s="149" t="s">
        <v>1136</v>
      </c>
    </row>
    <row r="993" spans="1:2" x14ac:dyDescent="0.2">
      <c r="A993" s="148" t="s">
        <v>984</v>
      </c>
      <c r="B993" s="149" t="s">
        <v>1136</v>
      </c>
    </row>
    <row r="994" spans="1:2" x14ac:dyDescent="0.2">
      <c r="A994" s="148" t="s">
        <v>985</v>
      </c>
      <c r="B994" s="149" t="s">
        <v>1136</v>
      </c>
    </row>
    <row r="995" spans="1:2" x14ac:dyDescent="0.2">
      <c r="A995" s="148" t="s">
        <v>986</v>
      </c>
      <c r="B995" s="149" t="s">
        <v>1136</v>
      </c>
    </row>
    <row r="996" spans="1:2" x14ac:dyDescent="0.2">
      <c r="A996" s="148" t="s">
        <v>987</v>
      </c>
      <c r="B996" s="149" t="s">
        <v>1136</v>
      </c>
    </row>
    <row r="997" spans="1:2" x14ac:dyDescent="0.2">
      <c r="A997" s="148" t="s">
        <v>988</v>
      </c>
      <c r="B997" s="149" t="s">
        <v>1136</v>
      </c>
    </row>
    <row r="998" spans="1:2" x14ac:dyDescent="0.2">
      <c r="A998" s="148" t="s">
        <v>989</v>
      </c>
      <c r="B998" s="149" t="s">
        <v>1136</v>
      </c>
    </row>
    <row r="999" spans="1:2" x14ac:dyDescent="0.2">
      <c r="A999" s="148" t="s">
        <v>990</v>
      </c>
      <c r="B999" s="149" t="s">
        <v>1136</v>
      </c>
    </row>
    <row r="1000" spans="1:2" x14ac:dyDescent="0.2">
      <c r="A1000" s="148" t="s">
        <v>991</v>
      </c>
      <c r="B1000" s="149" t="s">
        <v>1136</v>
      </c>
    </row>
    <row r="1001" spans="1:2" x14ac:dyDescent="0.2">
      <c r="A1001" s="148" t="s">
        <v>992</v>
      </c>
      <c r="B1001" s="149" t="s">
        <v>1136</v>
      </c>
    </row>
    <row r="1002" spans="1:2" x14ac:dyDescent="0.2">
      <c r="A1002" s="148" t="s">
        <v>993</v>
      </c>
      <c r="B1002" s="149" t="s">
        <v>1136</v>
      </c>
    </row>
    <row r="1003" spans="1:2" x14ac:dyDescent="0.2">
      <c r="A1003" s="148" t="s">
        <v>994</v>
      </c>
      <c r="B1003" s="149" t="s">
        <v>1136</v>
      </c>
    </row>
    <row r="1004" spans="1:2" x14ac:dyDescent="0.2">
      <c r="A1004" s="148" t="s">
        <v>995</v>
      </c>
      <c r="B1004" s="149" t="s">
        <v>1136</v>
      </c>
    </row>
    <row r="1005" spans="1:2" x14ac:dyDescent="0.2">
      <c r="A1005" s="148" t="s">
        <v>996</v>
      </c>
      <c r="B1005" s="149" t="s">
        <v>1136</v>
      </c>
    </row>
    <row r="1006" spans="1:2" x14ac:dyDescent="0.2">
      <c r="A1006" s="148" t="s">
        <v>997</v>
      </c>
      <c r="B1006" s="149" t="s">
        <v>1136</v>
      </c>
    </row>
    <row r="1007" spans="1:2" x14ac:dyDescent="0.2">
      <c r="A1007" s="148" t="s">
        <v>998</v>
      </c>
      <c r="B1007" s="149" t="s">
        <v>1136</v>
      </c>
    </row>
    <row r="1008" spans="1:2" x14ac:dyDescent="0.2">
      <c r="A1008" s="148" t="s">
        <v>999</v>
      </c>
      <c r="B1008" s="149" t="s">
        <v>1136</v>
      </c>
    </row>
    <row r="1009" spans="1:2" x14ac:dyDescent="0.2">
      <c r="A1009" s="148" t="s">
        <v>1000</v>
      </c>
      <c r="B1009" s="149" t="s">
        <v>1136</v>
      </c>
    </row>
    <row r="1010" spans="1:2" x14ac:dyDescent="0.2">
      <c r="A1010" s="148" t="s">
        <v>1001</v>
      </c>
      <c r="B1010" s="149" t="s">
        <v>1136</v>
      </c>
    </row>
    <row r="1011" spans="1:2" x14ac:dyDescent="0.2">
      <c r="A1011" s="148" t="s">
        <v>1002</v>
      </c>
      <c r="B1011" s="149" t="s">
        <v>1136</v>
      </c>
    </row>
    <row r="1012" spans="1:2" x14ac:dyDescent="0.2">
      <c r="A1012" s="148" t="s">
        <v>1003</v>
      </c>
      <c r="B1012" s="149" t="s">
        <v>1136</v>
      </c>
    </row>
    <row r="1013" spans="1:2" x14ac:dyDescent="0.2">
      <c r="A1013" s="148" t="s">
        <v>1004</v>
      </c>
      <c r="B1013" s="149" t="s">
        <v>1136</v>
      </c>
    </row>
    <row r="1014" spans="1:2" x14ac:dyDescent="0.2">
      <c r="A1014" s="148" t="s">
        <v>1005</v>
      </c>
      <c r="B1014" s="149" t="s">
        <v>1136</v>
      </c>
    </row>
    <row r="1015" spans="1:2" x14ac:dyDescent="0.2">
      <c r="A1015" s="148" t="s">
        <v>1006</v>
      </c>
      <c r="B1015" s="149" t="s">
        <v>1136</v>
      </c>
    </row>
    <row r="1016" spans="1:2" x14ac:dyDescent="0.2">
      <c r="A1016" s="148" t="s">
        <v>1007</v>
      </c>
      <c r="B1016" s="149" t="s">
        <v>1136</v>
      </c>
    </row>
    <row r="1017" spans="1:2" x14ac:dyDescent="0.2">
      <c r="A1017" s="148" t="s">
        <v>1008</v>
      </c>
      <c r="B1017" s="149" t="s">
        <v>1136</v>
      </c>
    </row>
    <row r="1018" spans="1:2" x14ac:dyDescent="0.2">
      <c r="A1018" s="148" t="s">
        <v>1009</v>
      </c>
      <c r="B1018" s="149" t="s">
        <v>1136</v>
      </c>
    </row>
    <row r="1019" spans="1:2" x14ac:dyDescent="0.2">
      <c r="A1019" s="148" t="s">
        <v>1010</v>
      </c>
      <c r="B1019" s="149" t="s">
        <v>1136</v>
      </c>
    </row>
    <row r="1020" spans="1:2" x14ac:dyDescent="0.2">
      <c r="A1020" s="148" t="s">
        <v>1011</v>
      </c>
      <c r="B1020" s="149" t="s">
        <v>1136</v>
      </c>
    </row>
    <row r="1021" spans="1:2" x14ac:dyDescent="0.2">
      <c r="A1021" s="148" t="s">
        <v>1012</v>
      </c>
      <c r="B1021" s="149" t="s">
        <v>1136</v>
      </c>
    </row>
    <row r="1022" spans="1:2" x14ac:dyDescent="0.2">
      <c r="A1022" s="148" t="s">
        <v>1013</v>
      </c>
      <c r="B1022" s="149" t="s">
        <v>1136</v>
      </c>
    </row>
    <row r="1023" spans="1:2" x14ac:dyDescent="0.2">
      <c r="A1023" s="148" t="s">
        <v>1014</v>
      </c>
      <c r="B1023" s="149" t="s">
        <v>1136</v>
      </c>
    </row>
    <row r="1024" spans="1:2" x14ac:dyDescent="0.2">
      <c r="A1024" s="148" t="s">
        <v>1015</v>
      </c>
      <c r="B1024" s="149" t="s">
        <v>1136</v>
      </c>
    </row>
    <row r="1025" spans="1:2" x14ac:dyDescent="0.2">
      <c r="A1025" s="148" t="s">
        <v>1016</v>
      </c>
      <c r="B1025" s="149" t="s">
        <v>1136</v>
      </c>
    </row>
    <row r="1026" spans="1:2" x14ac:dyDescent="0.2">
      <c r="A1026" s="148" t="s">
        <v>1017</v>
      </c>
      <c r="B1026" s="149" t="s">
        <v>1136</v>
      </c>
    </row>
    <row r="1027" spans="1:2" x14ac:dyDescent="0.2">
      <c r="A1027" s="148" t="s">
        <v>1018</v>
      </c>
      <c r="B1027" s="149" t="s">
        <v>1136</v>
      </c>
    </row>
    <row r="1028" spans="1:2" x14ac:dyDescent="0.2">
      <c r="A1028" s="148" t="s">
        <v>1019</v>
      </c>
      <c r="B1028" s="149" t="s">
        <v>1136</v>
      </c>
    </row>
    <row r="1029" spans="1:2" x14ac:dyDescent="0.2">
      <c r="A1029" s="148" t="s">
        <v>1020</v>
      </c>
      <c r="B1029" s="149" t="s">
        <v>1136</v>
      </c>
    </row>
    <row r="1030" spans="1:2" x14ac:dyDescent="0.2">
      <c r="A1030" s="148" t="s">
        <v>1021</v>
      </c>
      <c r="B1030" s="149" t="s">
        <v>1136</v>
      </c>
    </row>
    <row r="1031" spans="1:2" x14ac:dyDescent="0.2">
      <c r="A1031" s="148" t="s">
        <v>1022</v>
      </c>
      <c r="B1031" s="149" t="s">
        <v>1136</v>
      </c>
    </row>
    <row r="1032" spans="1:2" x14ac:dyDescent="0.2">
      <c r="A1032" s="148" t="s">
        <v>1023</v>
      </c>
      <c r="B1032" s="149" t="s">
        <v>1136</v>
      </c>
    </row>
    <row r="1033" spans="1:2" x14ac:dyDescent="0.2">
      <c r="A1033" s="148" t="s">
        <v>1024</v>
      </c>
      <c r="B1033" s="149" t="s">
        <v>1136</v>
      </c>
    </row>
    <row r="1034" spans="1:2" x14ac:dyDescent="0.2">
      <c r="A1034" s="148" t="s">
        <v>1025</v>
      </c>
      <c r="B1034" s="149" t="s">
        <v>1136</v>
      </c>
    </row>
    <row r="1035" spans="1:2" x14ac:dyDescent="0.2">
      <c r="A1035" s="148" t="s">
        <v>1026</v>
      </c>
      <c r="B1035" s="149" t="s">
        <v>1136</v>
      </c>
    </row>
    <row r="1036" spans="1:2" x14ac:dyDescent="0.2">
      <c r="A1036" s="148" t="s">
        <v>1027</v>
      </c>
      <c r="B1036" s="149" t="s">
        <v>1136</v>
      </c>
    </row>
    <row r="1037" spans="1:2" x14ac:dyDescent="0.2">
      <c r="A1037" s="148" t="s">
        <v>1028</v>
      </c>
      <c r="B1037" s="149" t="s">
        <v>1136</v>
      </c>
    </row>
    <row r="1038" spans="1:2" x14ac:dyDescent="0.2">
      <c r="A1038" s="148" t="s">
        <v>1029</v>
      </c>
      <c r="B1038" s="149" t="s">
        <v>1136</v>
      </c>
    </row>
    <row r="1039" spans="1:2" x14ac:dyDescent="0.2">
      <c r="A1039" s="148" t="s">
        <v>1030</v>
      </c>
      <c r="B1039" s="149" t="s">
        <v>1136</v>
      </c>
    </row>
    <row r="1040" spans="1:2" x14ac:dyDescent="0.2">
      <c r="A1040" s="148" t="s">
        <v>1031</v>
      </c>
      <c r="B1040" s="149" t="s">
        <v>1136</v>
      </c>
    </row>
    <row r="1041" spans="1:2" x14ac:dyDescent="0.2">
      <c r="A1041" s="148" t="s">
        <v>1032</v>
      </c>
      <c r="B1041" s="149" t="s">
        <v>1136</v>
      </c>
    </row>
    <row r="1042" spans="1:2" x14ac:dyDescent="0.2">
      <c r="A1042" s="148" t="s">
        <v>1033</v>
      </c>
      <c r="B1042" s="149" t="s">
        <v>1136</v>
      </c>
    </row>
    <row r="1043" spans="1:2" x14ac:dyDescent="0.2">
      <c r="A1043" s="148" t="s">
        <v>1034</v>
      </c>
      <c r="B1043" s="149" t="s">
        <v>1136</v>
      </c>
    </row>
    <row r="1044" spans="1:2" x14ac:dyDescent="0.2">
      <c r="A1044" s="148" t="s">
        <v>1035</v>
      </c>
      <c r="B1044" s="149" t="s">
        <v>1136</v>
      </c>
    </row>
    <row r="1045" spans="1:2" x14ac:dyDescent="0.2">
      <c r="A1045" s="148" t="s">
        <v>1036</v>
      </c>
      <c r="B1045" s="149" t="s">
        <v>1136</v>
      </c>
    </row>
    <row r="1046" spans="1:2" x14ac:dyDescent="0.2">
      <c r="A1046" s="148" t="s">
        <v>1037</v>
      </c>
      <c r="B1046" s="149" t="s">
        <v>1136</v>
      </c>
    </row>
    <row r="1047" spans="1:2" x14ac:dyDescent="0.2">
      <c r="A1047" s="148" t="s">
        <v>1038</v>
      </c>
      <c r="B1047" s="149" t="s">
        <v>1136</v>
      </c>
    </row>
    <row r="1048" spans="1:2" x14ac:dyDescent="0.2">
      <c r="A1048" s="148" t="s">
        <v>1039</v>
      </c>
      <c r="B1048" s="149" t="s">
        <v>1136</v>
      </c>
    </row>
    <row r="1049" spans="1:2" x14ac:dyDescent="0.2">
      <c r="A1049" s="148" t="s">
        <v>1040</v>
      </c>
      <c r="B1049" s="149" t="s">
        <v>1136</v>
      </c>
    </row>
    <row r="1050" spans="1:2" x14ac:dyDescent="0.2">
      <c r="A1050" s="148" t="s">
        <v>1041</v>
      </c>
      <c r="B1050" s="149" t="s">
        <v>1136</v>
      </c>
    </row>
    <row r="1051" spans="1:2" x14ac:dyDescent="0.2">
      <c r="A1051" s="148" t="s">
        <v>1042</v>
      </c>
      <c r="B1051" s="149" t="s">
        <v>1136</v>
      </c>
    </row>
    <row r="1052" spans="1:2" x14ac:dyDescent="0.2">
      <c r="A1052" s="148" t="s">
        <v>1043</v>
      </c>
      <c r="B1052" s="149" t="s">
        <v>1136</v>
      </c>
    </row>
    <row r="1053" spans="1:2" x14ac:dyDescent="0.2">
      <c r="A1053" s="148" t="s">
        <v>1044</v>
      </c>
      <c r="B1053" s="149" t="s">
        <v>1136</v>
      </c>
    </row>
    <row r="1054" spans="1:2" x14ac:dyDescent="0.2">
      <c r="A1054" s="148" t="s">
        <v>1045</v>
      </c>
      <c r="B1054" s="149" t="s">
        <v>1136</v>
      </c>
    </row>
    <row r="1055" spans="1:2" x14ac:dyDescent="0.2">
      <c r="A1055" s="148" t="s">
        <v>1046</v>
      </c>
      <c r="B1055" s="149" t="s">
        <v>1136</v>
      </c>
    </row>
    <row r="1056" spans="1:2" x14ac:dyDescent="0.2">
      <c r="A1056" s="148" t="s">
        <v>1047</v>
      </c>
      <c r="B1056" s="149" t="s">
        <v>1136</v>
      </c>
    </row>
    <row r="1057" spans="1:2" x14ac:dyDescent="0.2">
      <c r="A1057" s="148" t="s">
        <v>1048</v>
      </c>
      <c r="B1057" s="149" t="s">
        <v>1136</v>
      </c>
    </row>
    <row r="1058" spans="1:2" x14ac:dyDescent="0.2">
      <c r="A1058" s="148" t="s">
        <v>1049</v>
      </c>
      <c r="B1058" s="149" t="s">
        <v>1136</v>
      </c>
    </row>
    <row r="1059" spans="1:2" x14ac:dyDescent="0.2">
      <c r="A1059" s="148" t="s">
        <v>1050</v>
      </c>
      <c r="B1059" s="149" t="s">
        <v>1136</v>
      </c>
    </row>
    <row r="1060" spans="1:2" x14ac:dyDescent="0.2">
      <c r="A1060" s="148" t="s">
        <v>1051</v>
      </c>
      <c r="B1060" s="149" t="s">
        <v>1136</v>
      </c>
    </row>
    <row r="1061" spans="1:2" x14ac:dyDescent="0.2">
      <c r="A1061" s="148" t="s">
        <v>1052</v>
      </c>
      <c r="B1061" s="149" t="s">
        <v>1136</v>
      </c>
    </row>
    <row r="1062" spans="1:2" x14ac:dyDescent="0.2">
      <c r="A1062" s="148" t="s">
        <v>1053</v>
      </c>
      <c r="B1062" s="149" t="s">
        <v>1136</v>
      </c>
    </row>
    <row r="1063" spans="1:2" x14ac:dyDescent="0.2">
      <c r="A1063" s="148" t="s">
        <v>1054</v>
      </c>
      <c r="B1063" s="149" t="s">
        <v>1136</v>
      </c>
    </row>
    <row r="1064" spans="1:2" x14ac:dyDescent="0.2">
      <c r="A1064" s="148" t="s">
        <v>1055</v>
      </c>
      <c r="B1064" s="149" t="s">
        <v>1136</v>
      </c>
    </row>
    <row r="1065" spans="1:2" x14ac:dyDescent="0.2">
      <c r="A1065" s="148" t="s">
        <v>1056</v>
      </c>
      <c r="B1065" s="149" t="s">
        <v>1136</v>
      </c>
    </row>
    <row r="1066" spans="1:2" x14ac:dyDescent="0.2">
      <c r="A1066" s="148" t="s">
        <v>1057</v>
      </c>
      <c r="B1066" s="149" t="s">
        <v>1136</v>
      </c>
    </row>
    <row r="1067" spans="1:2" x14ac:dyDescent="0.2">
      <c r="A1067" s="148" t="s">
        <v>1058</v>
      </c>
      <c r="B1067" s="149" t="s">
        <v>1136</v>
      </c>
    </row>
    <row r="1068" spans="1:2" x14ac:dyDescent="0.2">
      <c r="A1068" s="148" t="s">
        <v>1059</v>
      </c>
      <c r="B1068" s="149" t="s">
        <v>1136</v>
      </c>
    </row>
    <row r="1069" spans="1:2" x14ac:dyDescent="0.2">
      <c r="A1069" s="148" t="s">
        <v>1060</v>
      </c>
      <c r="B1069" s="149" t="s">
        <v>1136</v>
      </c>
    </row>
    <row r="1070" spans="1:2" x14ac:dyDescent="0.2">
      <c r="A1070" s="148" t="s">
        <v>1061</v>
      </c>
      <c r="B1070" s="149" t="s">
        <v>1136</v>
      </c>
    </row>
    <row r="1071" spans="1:2" x14ac:dyDescent="0.2">
      <c r="A1071" s="148" t="s">
        <v>1062</v>
      </c>
      <c r="B1071" s="149" t="s">
        <v>1136</v>
      </c>
    </row>
    <row r="1072" spans="1:2" x14ac:dyDescent="0.2">
      <c r="A1072" s="148" t="s">
        <v>1063</v>
      </c>
      <c r="B1072" s="149" t="s">
        <v>1136</v>
      </c>
    </row>
    <row r="1073" spans="1:2" x14ac:dyDescent="0.2">
      <c r="A1073" s="148" t="s">
        <v>1064</v>
      </c>
      <c r="B1073" s="149" t="s">
        <v>1136</v>
      </c>
    </row>
    <row r="1074" spans="1:2" x14ac:dyDescent="0.2">
      <c r="A1074" s="148" t="s">
        <v>1065</v>
      </c>
      <c r="B1074" s="149" t="s">
        <v>1136</v>
      </c>
    </row>
    <row r="1075" spans="1:2" x14ac:dyDescent="0.2">
      <c r="A1075" s="148" t="s">
        <v>1066</v>
      </c>
      <c r="B1075" s="149" t="s">
        <v>1136</v>
      </c>
    </row>
    <row r="1076" spans="1:2" x14ac:dyDescent="0.2">
      <c r="A1076" s="148" t="s">
        <v>1067</v>
      </c>
      <c r="B1076" s="149" t="s">
        <v>1136</v>
      </c>
    </row>
    <row r="1077" spans="1:2" x14ac:dyDescent="0.2">
      <c r="A1077" s="148" t="s">
        <v>1068</v>
      </c>
      <c r="B1077" s="149" t="s">
        <v>1136</v>
      </c>
    </row>
    <row r="1078" spans="1:2" x14ac:dyDescent="0.2">
      <c r="A1078" s="148" t="s">
        <v>1069</v>
      </c>
      <c r="B1078" s="149" t="s">
        <v>1136</v>
      </c>
    </row>
    <row r="1079" spans="1:2" x14ac:dyDescent="0.2">
      <c r="A1079" s="148" t="s">
        <v>1070</v>
      </c>
      <c r="B1079" s="149" t="s">
        <v>1136</v>
      </c>
    </row>
    <row r="1080" spans="1:2" x14ac:dyDescent="0.2">
      <c r="A1080" s="148" t="s">
        <v>1071</v>
      </c>
      <c r="B1080" s="149" t="s">
        <v>1136</v>
      </c>
    </row>
    <row r="1081" spans="1:2" x14ac:dyDescent="0.2">
      <c r="A1081" s="148" t="s">
        <v>1072</v>
      </c>
      <c r="B1081" s="149" t="s">
        <v>1136</v>
      </c>
    </row>
    <row r="1082" spans="1:2" x14ac:dyDescent="0.2">
      <c r="A1082" s="148" t="s">
        <v>1073</v>
      </c>
      <c r="B1082" s="149" t="s">
        <v>1136</v>
      </c>
    </row>
    <row r="1083" spans="1:2" x14ac:dyDescent="0.2">
      <c r="A1083" s="148" t="s">
        <v>1074</v>
      </c>
      <c r="B1083" s="149" t="s">
        <v>1136</v>
      </c>
    </row>
    <row r="1084" spans="1:2" x14ac:dyDescent="0.2">
      <c r="A1084" s="148" t="s">
        <v>1075</v>
      </c>
      <c r="B1084" s="149" t="s">
        <v>1136</v>
      </c>
    </row>
    <row r="1085" spans="1:2" x14ac:dyDescent="0.2">
      <c r="A1085" s="148" t="s">
        <v>1076</v>
      </c>
      <c r="B1085" s="149" t="s">
        <v>1136</v>
      </c>
    </row>
    <row r="1086" spans="1:2" x14ac:dyDescent="0.2">
      <c r="A1086" s="148" t="s">
        <v>1077</v>
      </c>
      <c r="B1086" s="149" t="s">
        <v>1136</v>
      </c>
    </row>
    <row r="1087" spans="1:2" x14ac:dyDescent="0.2">
      <c r="A1087" s="148" t="s">
        <v>1078</v>
      </c>
      <c r="B1087" s="149" t="s">
        <v>1136</v>
      </c>
    </row>
    <row r="1088" spans="1:2" x14ac:dyDescent="0.2">
      <c r="A1088" s="148" t="s">
        <v>1079</v>
      </c>
      <c r="B1088" s="149" t="s">
        <v>1136</v>
      </c>
    </row>
    <row r="1089" spans="1:2" x14ac:dyDescent="0.2">
      <c r="A1089" s="148" t="s">
        <v>1080</v>
      </c>
      <c r="B1089" s="149" t="s">
        <v>1136</v>
      </c>
    </row>
    <row r="1090" spans="1:2" x14ac:dyDescent="0.2">
      <c r="A1090" s="148" t="s">
        <v>1081</v>
      </c>
      <c r="B1090" s="149" t="s">
        <v>1136</v>
      </c>
    </row>
    <row r="1091" spans="1:2" x14ac:dyDescent="0.2">
      <c r="A1091" s="148" t="s">
        <v>1082</v>
      </c>
      <c r="B1091" s="149" t="s">
        <v>1136</v>
      </c>
    </row>
    <row r="1092" spans="1:2" x14ac:dyDescent="0.2">
      <c r="A1092" s="148" t="s">
        <v>1083</v>
      </c>
      <c r="B1092" s="149" t="s">
        <v>1136</v>
      </c>
    </row>
    <row r="1093" spans="1:2" x14ac:dyDescent="0.2">
      <c r="A1093" s="148" t="s">
        <v>1084</v>
      </c>
      <c r="B1093" s="149" t="s">
        <v>1136</v>
      </c>
    </row>
    <row r="1094" spans="1:2" x14ac:dyDescent="0.2">
      <c r="A1094" s="148" t="s">
        <v>1085</v>
      </c>
      <c r="B1094" s="149" t="s">
        <v>1136</v>
      </c>
    </row>
    <row r="1095" spans="1:2" x14ac:dyDescent="0.2">
      <c r="A1095" s="148" t="s">
        <v>1086</v>
      </c>
      <c r="B1095" s="149" t="s">
        <v>1136</v>
      </c>
    </row>
    <row r="1096" spans="1:2" x14ac:dyDescent="0.2">
      <c r="A1096" s="148" t="s">
        <v>1087</v>
      </c>
      <c r="B1096" s="149" t="s">
        <v>1136</v>
      </c>
    </row>
    <row r="1097" spans="1:2" x14ac:dyDescent="0.2">
      <c r="A1097" s="148" t="s">
        <v>1088</v>
      </c>
      <c r="B1097" s="149" t="s">
        <v>1136</v>
      </c>
    </row>
    <row r="1098" spans="1:2" x14ac:dyDescent="0.2">
      <c r="A1098" s="148" t="s">
        <v>1089</v>
      </c>
      <c r="B1098" s="149" t="s">
        <v>1136</v>
      </c>
    </row>
    <row r="1099" spans="1:2" x14ac:dyDescent="0.2">
      <c r="A1099" s="148" t="s">
        <v>1090</v>
      </c>
      <c r="B1099" s="149" t="s">
        <v>1136</v>
      </c>
    </row>
    <row r="1100" spans="1:2" x14ac:dyDescent="0.2">
      <c r="A1100" s="148" t="s">
        <v>1091</v>
      </c>
      <c r="B1100" s="149" t="s">
        <v>1136</v>
      </c>
    </row>
    <row r="1101" spans="1:2" x14ac:dyDescent="0.2">
      <c r="A1101" s="148" t="s">
        <v>1092</v>
      </c>
      <c r="B1101" s="149" t="s">
        <v>1136</v>
      </c>
    </row>
    <row r="1102" spans="1:2" x14ac:dyDescent="0.2">
      <c r="A1102" s="148" t="s">
        <v>1093</v>
      </c>
      <c r="B1102" s="149" t="s">
        <v>1136</v>
      </c>
    </row>
    <row r="1103" spans="1:2" x14ac:dyDescent="0.2">
      <c r="A1103" s="148" t="s">
        <v>1094</v>
      </c>
      <c r="B1103" s="149" t="s">
        <v>1136</v>
      </c>
    </row>
    <row r="1104" spans="1:2" x14ac:dyDescent="0.2">
      <c r="A1104" s="148" t="s">
        <v>1095</v>
      </c>
      <c r="B1104" s="149" t="s">
        <v>1136</v>
      </c>
    </row>
    <row r="1105" spans="1:2" x14ac:dyDescent="0.2">
      <c r="A1105" s="148" t="s">
        <v>1096</v>
      </c>
      <c r="B1105" s="149" t="s">
        <v>1136</v>
      </c>
    </row>
    <row r="1106" spans="1:2" x14ac:dyDescent="0.2">
      <c r="A1106" s="148" t="s">
        <v>1097</v>
      </c>
      <c r="B1106" s="149" t="s">
        <v>1136</v>
      </c>
    </row>
    <row r="1107" spans="1:2" x14ac:dyDescent="0.2">
      <c r="A1107" s="148" t="s">
        <v>1098</v>
      </c>
      <c r="B1107" s="149" t="s">
        <v>1136</v>
      </c>
    </row>
    <row r="1108" spans="1:2" x14ac:dyDescent="0.2">
      <c r="A1108" s="148" t="s">
        <v>1099</v>
      </c>
      <c r="B1108" s="149" t="s">
        <v>1136</v>
      </c>
    </row>
    <row r="1109" spans="1:2" x14ac:dyDescent="0.2">
      <c r="A1109" s="148" t="s">
        <v>1100</v>
      </c>
      <c r="B1109" s="149" t="s">
        <v>1136</v>
      </c>
    </row>
    <row r="1110" spans="1:2" x14ac:dyDescent="0.2">
      <c r="A1110" s="148" t="s">
        <v>1101</v>
      </c>
      <c r="B1110" s="149" t="s">
        <v>1136</v>
      </c>
    </row>
    <row r="1111" spans="1:2" x14ac:dyDescent="0.2">
      <c r="A1111" s="148" t="s">
        <v>1102</v>
      </c>
      <c r="B1111" s="149" t="s">
        <v>1136</v>
      </c>
    </row>
    <row r="1112" spans="1:2" x14ac:dyDescent="0.2">
      <c r="A1112" s="148" t="s">
        <v>1103</v>
      </c>
      <c r="B1112" s="149" t="s">
        <v>1136</v>
      </c>
    </row>
    <row r="1113" spans="1:2" x14ac:dyDescent="0.2">
      <c r="A1113" s="148" t="s">
        <v>1104</v>
      </c>
      <c r="B1113" s="149" t="s">
        <v>1136</v>
      </c>
    </row>
    <row r="1114" spans="1:2" x14ac:dyDescent="0.2">
      <c r="A1114" s="148" t="s">
        <v>1105</v>
      </c>
      <c r="B1114" s="149" t="s">
        <v>1136</v>
      </c>
    </row>
    <row r="1115" spans="1:2" x14ac:dyDescent="0.2">
      <c r="A1115" s="148" t="s">
        <v>1106</v>
      </c>
      <c r="B1115" s="149" t="s">
        <v>1136</v>
      </c>
    </row>
    <row r="1116" spans="1:2" x14ac:dyDescent="0.2">
      <c r="A1116" s="148" t="s">
        <v>1107</v>
      </c>
      <c r="B1116" s="149" t="s">
        <v>1136</v>
      </c>
    </row>
    <row r="1117" spans="1:2" x14ac:dyDescent="0.2">
      <c r="A1117" s="148" t="s">
        <v>1113</v>
      </c>
      <c r="B1117" s="149" t="s">
        <v>1137</v>
      </c>
    </row>
    <row r="1118" spans="1:2" x14ac:dyDescent="0.2">
      <c r="A1118" s="148" t="s">
        <v>1138</v>
      </c>
      <c r="B1118" s="149" t="s">
        <v>1139</v>
      </c>
    </row>
    <row r="1119" spans="1:2" x14ac:dyDescent="0.2">
      <c r="A1119" s="148" t="s">
        <v>918</v>
      </c>
      <c r="B1119" s="149" t="s">
        <v>1140</v>
      </c>
    </row>
    <row r="1120" spans="1:2" x14ac:dyDescent="0.2">
      <c r="A1120" s="148" t="s">
        <v>1109</v>
      </c>
      <c r="B1120" s="149" t="s">
        <v>1141</v>
      </c>
    </row>
    <row r="1121" spans="1:2" x14ac:dyDescent="0.2">
      <c r="A1121" s="148" t="s">
        <v>1142</v>
      </c>
      <c r="B1121" s="149" t="s">
        <v>1143</v>
      </c>
    </row>
    <row r="1122" spans="1:2" x14ac:dyDescent="0.2">
      <c r="A1122" s="148" t="s">
        <v>1144</v>
      </c>
      <c r="B1122" s="149" t="s">
        <v>1145</v>
      </c>
    </row>
    <row r="1123" spans="1:2" x14ac:dyDescent="0.2">
      <c r="A1123" s="148" t="s">
        <v>278</v>
      </c>
      <c r="B1123" s="149" t="s">
        <v>1146</v>
      </c>
    </row>
    <row r="1124" spans="1:2" x14ac:dyDescent="0.2">
      <c r="A1124" s="148" t="s">
        <v>280</v>
      </c>
      <c r="B1124" s="149" t="s">
        <v>1147</v>
      </c>
    </row>
    <row r="1125" spans="1:2" x14ac:dyDescent="0.2">
      <c r="A1125" s="148" t="s">
        <v>1148</v>
      </c>
      <c r="B1125" s="149" t="s">
        <v>1149</v>
      </c>
    </row>
    <row r="1126" spans="1:2" x14ac:dyDescent="0.2">
      <c r="A1126" s="148" t="s">
        <v>1150</v>
      </c>
      <c r="B1126" s="149" t="s">
        <v>1151</v>
      </c>
    </row>
    <row r="1127" spans="1:2" x14ac:dyDescent="0.2">
      <c r="A1127" s="148" t="s">
        <v>1152</v>
      </c>
      <c r="B1127" s="149" t="s">
        <v>1153</v>
      </c>
    </row>
    <row r="1128" spans="1:2" x14ac:dyDescent="0.2">
      <c r="A1128" s="148" t="s">
        <v>1154</v>
      </c>
      <c r="B1128" s="149" t="s">
        <v>1155</v>
      </c>
    </row>
    <row r="1129" spans="1:2" x14ac:dyDescent="0.2">
      <c r="A1129" s="148" t="s">
        <v>1156</v>
      </c>
      <c r="B1129" s="149" t="s">
        <v>1157</v>
      </c>
    </row>
    <row r="1130" spans="1:2" x14ac:dyDescent="0.2">
      <c r="A1130" s="148" t="s">
        <v>1158</v>
      </c>
      <c r="B1130" s="149" t="s">
        <v>1159</v>
      </c>
    </row>
    <row r="1131" spans="1:2" x14ac:dyDescent="0.2">
      <c r="A1131" s="148" t="s">
        <v>1160</v>
      </c>
      <c r="B1131" s="149" t="s">
        <v>1161</v>
      </c>
    </row>
    <row r="1132" spans="1:2" x14ac:dyDescent="0.2">
      <c r="A1132" s="148" t="s">
        <v>1162</v>
      </c>
      <c r="B1132" s="149" t="s">
        <v>1163</v>
      </c>
    </row>
    <row r="1133" spans="1:2" x14ac:dyDescent="0.2">
      <c r="A1133" s="148" t="s">
        <v>1164</v>
      </c>
      <c r="B1133" s="149" t="s">
        <v>1165</v>
      </c>
    </row>
    <row r="1134" spans="1:2" x14ac:dyDescent="0.2">
      <c r="A1134" s="148" t="s">
        <v>1166</v>
      </c>
      <c r="B1134" s="149" t="s">
        <v>1167</v>
      </c>
    </row>
    <row r="1135" spans="1:2" x14ac:dyDescent="0.2">
      <c r="A1135" s="148" t="s">
        <v>1168</v>
      </c>
      <c r="B1135" s="149" t="s">
        <v>1169</v>
      </c>
    </row>
    <row r="1136" spans="1:2" x14ac:dyDescent="0.2">
      <c r="A1136" s="148" t="s">
        <v>1170</v>
      </c>
      <c r="B1136" s="149" t="s">
        <v>1171</v>
      </c>
    </row>
    <row r="1137" spans="1:2" x14ac:dyDescent="0.2">
      <c r="A1137" s="148" t="s">
        <v>1172</v>
      </c>
      <c r="B1137" s="149" t="s">
        <v>1173</v>
      </c>
    </row>
    <row r="1138" spans="1:2" x14ac:dyDescent="0.2">
      <c r="A1138" s="148" t="s">
        <v>1174</v>
      </c>
      <c r="B1138" s="149" t="s">
        <v>1175</v>
      </c>
    </row>
    <row r="1139" spans="1:2" x14ac:dyDescent="0.2">
      <c r="A1139" s="148" t="s">
        <v>1176</v>
      </c>
      <c r="B1139" s="149" t="s">
        <v>1177</v>
      </c>
    </row>
    <row r="1140" spans="1:2" x14ac:dyDescent="0.2">
      <c r="A1140" s="148" t="s">
        <v>1178</v>
      </c>
      <c r="B1140" s="149" t="s">
        <v>1179</v>
      </c>
    </row>
    <row r="1141" spans="1:2" x14ac:dyDescent="0.2">
      <c r="A1141" s="148" t="s">
        <v>1180</v>
      </c>
      <c r="B1141" s="149" t="s">
        <v>1181</v>
      </c>
    </row>
    <row r="1142" spans="1:2" x14ac:dyDescent="0.2">
      <c r="A1142" s="148" t="s">
        <v>1182</v>
      </c>
      <c r="B1142" s="149" t="s">
        <v>1183</v>
      </c>
    </row>
    <row r="1143" spans="1:2" x14ac:dyDescent="0.2">
      <c r="A1143" s="148" t="s">
        <v>1184</v>
      </c>
      <c r="B1143" s="149" t="s">
        <v>1185</v>
      </c>
    </row>
    <row r="1144" spans="1:2" x14ac:dyDescent="0.2">
      <c r="A1144" s="148" t="s">
        <v>1186</v>
      </c>
      <c r="B1144" s="149" t="s">
        <v>1187</v>
      </c>
    </row>
    <row r="1145" spans="1:2" x14ac:dyDescent="0.2">
      <c r="A1145" s="148" t="s">
        <v>1188</v>
      </c>
      <c r="B1145" s="149" t="s">
        <v>1189</v>
      </c>
    </row>
    <row r="1146" spans="1:2" x14ac:dyDescent="0.2">
      <c r="A1146" s="148" t="s">
        <v>1190</v>
      </c>
      <c r="B1146" s="149" t="s">
        <v>1191</v>
      </c>
    </row>
    <row r="1147" spans="1:2" x14ac:dyDescent="0.2">
      <c r="A1147" s="148" t="s">
        <v>1192</v>
      </c>
      <c r="B1147" s="149" t="s">
        <v>1193</v>
      </c>
    </row>
    <row r="1148" spans="1:2" x14ac:dyDescent="0.2">
      <c r="A1148" s="148" t="s">
        <v>1194</v>
      </c>
      <c r="B1148" s="149" t="s">
        <v>1195</v>
      </c>
    </row>
    <row r="1149" spans="1:2" x14ac:dyDescent="0.2">
      <c r="A1149" s="148" t="s">
        <v>1196</v>
      </c>
      <c r="B1149" s="149" t="s">
        <v>1197</v>
      </c>
    </row>
    <row r="1150" spans="1:2" x14ac:dyDescent="0.2">
      <c r="A1150" s="148" t="s">
        <v>1198</v>
      </c>
      <c r="B1150" s="149" t="s">
        <v>1199</v>
      </c>
    </row>
    <row r="1151" spans="1:2" x14ac:dyDescent="0.2">
      <c r="A1151" s="148" t="s">
        <v>1200</v>
      </c>
      <c r="B1151" s="149" t="s">
        <v>1201</v>
      </c>
    </row>
    <row r="1152" spans="1:2" x14ac:dyDescent="0.2">
      <c r="A1152" s="148" t="s">
        <v>1202</v>
      </c>
      <c r="B1152" s="149" t="s">
        <v>1203</v>
      </c>
    </row>
    <row r="1153" spans="1:2" x14ac:dyDescent="0.2">
      <c r="A1153" s="148" t="s">
        <v>1204</v>
      </c>
      <c r="B1153" s="149" t="s">
        <v>1205</v>
      </c>
    </row>
    <row r="1154" spans="1:2" x14ac:dyDescent="0.2">
      <c r="A1154" s="148" t="s">
        <v>1206</v>
      </c>
      <c r="B1154" s="149" t="s">
        <v>1207</v>
      </c>
    </row>
    <row r="1155" spans="1:2" x14ac:dyDescent="0.2">
      <c r="A1155" s="148" t="s">
        <v>1208</v>
      </c>
      <c r="B1155" s="149" t="s">
        <v>1209</v>
      </c>
    </row>
    <row r="1156" spans="1:2" x14ac:dyDescent="0.2">
      <c r="A1156" s="148" t="s">
        <v>1210</v>
      </c>
      <c r="B1156" s="149" t="s">
        <v>1211</v>
      </c>
    </row>
    <row r="1157" spans="1:2" x14ac:dyDescent="0.2">
      <c r="A1157" s="148" t="s">
        <v>1212</v>
      </c>
      <c r="B1157" s="149" t="s">
        <v>1213</v>
      </c>
    </row>
    <row r="1158" spans="1:2" x14ac:dyDescent="0.2">
      <c r="A1158" s="148" t="s">
        <v>1214</v>
      </c>
      <c r="B1158" s="149" t="s">
        <v>1215</v>
      </c>
    </row>
    <row r="1159" spans="1:2" x14ac:dyDescent="0.2">
      <c r="A1159" s="148" t="s">
        <v>1216</v>
      </c>
      <c r="B1159" s="149" t="s">
        <v>1217</v>
      </c>
    </row>
    <row r="1160" spans="1:2" x14ac:dyDescent="0.2">
      <c r="A1160" s="148" t="s">
        <v>1218</v>
      </c>
      <c r="B1160" s="149" t="s">
        <v>1219</v>
      </c>
    </row>
    <row r="1161" spans="1:2" x14ac:dyDescent="0.2">
      <c r="A1161" s="148" t="s">
        <v>1220</v>
      </c>
      <c r="B1161" s="149" t="s">
        <v>1221</v>
      </c>
    </row>
    <row r="1162" spans="1:2" x14ac:dyDescent="0.2">
      <c r="A1162" s="148" t="s">
        <v>1222</v>
      </c>
      <c r="B1162" s="149" t="s">
        <v>1223</v>
      </c>
    </row>
    <row r="1163" spans="1:2" x14ac:dyDescent="0.2">
      <c r="A1163" s="148" t="s">
        <v>1224</v>
      </c>
      <c r="B1163" s="149" t="s">
        <v>1225</v>
      </c>
    </row>
    <row r="1164" spans="1:2" x14ac:dyDescent="0.2">
      <c r="A1164" s="148" t="s">
        <v>1226</v>
      </c>
      <c r="B1164" s="149" t="s">
        <v>1227</v>
      </c>
    </row>
    <row r="1165" spans="1:2" x14ac:dyDescent="0.2">
      <c r="A1165" s="148" t="s">
        <v>1228</v>
      </c>
      <c r="B1165" s="149" t="s">
        <v>1229</v>
      </c>
    </row>
    <row r="1166" spans="1:2" x14ac:dyDescent="0.2">
      <c r="A1166" s="148" t="s">
        <v>1230</v>
      </c>
      <c r="B1166" s="149" t="s">
        <v>1231</v>
      </c>
    </row>
    <row r="1167" spans="1:2" x14ac:dyDescent="0.2">
      <c r="A1167" s="148" t="s">
        <v>1232</v>
      </c>
      <c r="B1167" s="149" t="s">
        <v>1233</v>
      </c>
    </row>
    <row r="1168" spans="1:2" x14ac:dyDescent="0.2">
      <c r="A1168" s="148" t="s">
        <v>1234</v>
      </c>
      <c r="B1168" s="149" t="s">
        <v>1235</v>
      </c>
    </row>
    <row r="1169" spans="1:2" x14ac:dyDescent="0.2">
      <c r="A1169" s="148" t="s">
        <v>1236</v>
      </c>
      <c r="B1169" s="149" t="s">
        <v>1237</v>
      </c>
    </row>
    <row r="1170" spans="1:2" x14ac:dyDescent="0.2">
      <c r="A1170" s="148" t="s">
        <v>282</v>
      </c>
      <c r="B1170" s="149" t="s">
        <v>1238</v>
      </c>
    </row>
    <row r="1171" spans="1:2" x14ac:dyDescent="0.2">
      <c r="A1171" s="148" t="s">
        <v>1239</v>
      </c>
      <c r="B1171" s="149" t="s">
        <v>1240</v>
      </c>
    </row>
    <row r="1172" spans="1:2" x14ac:dyDescent="0.2">
      <c r="A1172" s="148" t="s">
        <v>284</v>
      </c>
      <c r="B1172" s="149" t="s">
        <v>1241</v>
      </c>
    </row>
    <row r="1173" spans="1:2" x14ac:dyDescent="0.2">
      <c r="A1173" s="148" t="s">
        <v>286</v>
      </c>
      <c r="B1173" s="149" t="s">
        <v>1242</v>
      </c>
    </row>
    <row r="1174" spans="1:2" x14ac:dyDescent="0.2">
      <c r="A1174" s="148" t="s">
        <v>1243</v>
      </c>
      <c r="B1174" s="149" t="s">
        <v>1244</v>
      </c>
    </row>
    <row r="1175" spans="1:2" x14ac:dyDescent="0.2">
      <c r="A1175" s="148" t="s">
        <v>288</v>
      </c>
      <c r="B1175" s="149" t="s">
        <v>1245</v>
      </c>
    </row>
    <row r="1176" spans="1:2" x14ac:dyDescent="0.2">
      <c r="A1176" s="148" t="s">
        <v>290</v>
      </c>
      <c r="B1176" s="149" t="s">
        <v>1246</v>
      </c>
    </row>
    <row r="1177" spans="1:2" x14ac:dyDescent="0.2">
      <c r="A1177" s="148" t="s">
        <v>292</v>
      </c>
      <c r="B1177" s="149" t="s">
        <v>1247</v>
      </c>
    </row>
    <row r="1178" spans="1:2" x14ac:dyDescent="0.2">
      <c r="A1178" s="148" t="s">
        <v>294</v>
      </c>
      <c r="B1178" s="149" t="s">
        <v>1248</v>
      </c>
    </row>
    <row r="1179" spans="1:2" x14ac:dyDescent="0.2">
      <c r="A1179" s="148" t="s">
        <v>1249</v>
      </c>
      <c r="B1179" s="149" t="s">
        <v>1250</v>
      </c>
    </row>
    <row r="1180" spans="1:2" x14ac:dyDescent="0.2">
      <c r="A1180" s="148" t="s">
        <v>1251</v>
      </c>
      <c r="B1180" s="149" t="s">
        <v>1252</v>
      </c>
    </row>
    <row r="1181" spans="1:2" x14ac:dyDescent="0.2">
      <c r="A1181" s="148" t="s">
        <v>1253</v>
      </c>
      <c r="B1181" s="149" t="s">
        <v>1254</v>
      </c>
    </row>
    <row r="1182" spans="1:2" x14ac:dyDescent="0.2">
      <c r="A1182" s="148" t="s">
        <v>1255</v>
      </c>
      <c r="B1182" s="149" t="s">
        <v>1256</v>
      </c>
    </row>
    <row r="1183" spans="1:2" x14ac:dyDescent="0.2">
      <c r="A1183" s="148" t="s">
        <v>1257</v>
      </c>
      <c r="B1183" s="149" t="s">
        <v>1258</v>
      </c>
    </row>
    <row r="1184" spans="1:2" x14ac:dyDescent="0.2">
      <c r="A1184" s="148" t="s">
        <v>1134</v>
      </c>
      <c r="B1184" s="149" t="s">
        <v>1259</v>
      </c>
    </row>
    <row r="1185" spans="1:2" x14ac:dyDescent="0.2">
      <c r="A1185" s="148" t="s">
        <v>1260</v>
      </c>
      <c r="B1185" s="149" t="s">
        <v>1261</v>
      </c>
    </row>
    <row r="1186" spans="1:2" x14ac:dyDescent="0.2">
      <c r="A1186" s="148" t="s">
        <v>536</v>
      </c>
      <c r="B1186" s="149" t="s">
        <v>1262</v>
      </c>
    </row>
    <row r="1187" spans="1:2" x14ac:dyDescent="0.2">
      <c r="A1187" s="148" t="s">
        <v>1263</v>
      </c>
      <c r="B1187" s="149" t="s">
        <v>1264</v>
      </c>
    </row>
    <row r="1188" spans="1:2" x14ac:dyDescent="0.2">
      <c r="A1188" s="148" t="s">
        <v>898</v>
      </c>
      <c r="B1188" s="149" t="s">
        <v>1265</v>
      </c>
    </row>
    <row r="1189" spans="1:2" x14ac:dyDescent="0.2">
      <c r="A1189" s="148" t="s">
        <v>296</v>
      </c>
      <c r="B1189" s="149" t="s">
        <v>1266</v>
      </c>
    </row>
    <row r="1190" spans="1:2" x14ac:dyDescent="0.2">
      <c r="A1190" s="148" t="s">
        <v>552</v>
      </c>
      <c r="B1190" s="149" t="s">
        <v>1267</v>
      </c>
    </row>
    <row r="1191" spans="1:2" x14ac:dyDescent="0.2">
      <c r="A1191" s="148" t="s">
        <v>1130</v>
      </c>
      <c r="B1191" s="149" t="s">
        <v>1268</v>
      </c>
    </row>
    <row r="1192" spans="1:2" x14ac:dyDescent="0.2">
      <c r="A1192" s="148" t="s">
        <v>1269</v>
      </c>
      <c r="B1192" s="149" t="s">
        <v>1270</v>
      </c>
    </row>
    <row r="1193" spans="1:2" x14ac:dyDescent="0.2">
      <c r="A1193" s="148" t="s">
        <v>1128</v>
      </c>
      <c r="B1193" s="149" t="s">
        <v>1271</v>
      </c>
    </row>
    <row r="1194" spans="1:2" x14ac:dyDescent="0.2">
      <c r="A1194" s="148" t="s">
        <v>298</v>
      </c>
      <c r="B1194" s="149" t="s">
        <v>1272</v>
      </c>
    </row>
    <row r="1195" spans="1:2" x14ac:dyDescent="0.2">
      <c r="A1195" s="148" t="s">
        <v>300</v>
      </c>
      <c r="B1195" s="149" t="s">
        <v>1273</v>
      </c>
    </row>
    <row r="1196" spans="1:2" x14ac:dyDescent="0.2">
      <c r="A1196" s="148" t="s">
        <v>1274</v>
      </c>
      <c r="B1196" s="149" t="s">
        <v>1275</v>
      </c>
    </row>
    <row r="1197" spans="1:2" x14ac:dyDescent="0.2">
      <c r="A1197" s="148" t="s">
        <v>1276</v>
      </c>
      <c r="B1197" s="149" t="s">
        <v>1277</v>
      </c>
    </row>
    <row r="1198" spans="1:2" x14ac:dyDescent="0.2">
      <c r="A1198" s="148" t="s">
        <v>1138</v>
      </c>
      <c r="B1198" s="149" t="s">
        <v>1278</v>
      </c>
    </row>
    <row r="1199" spans="1:2" x14ac:dyDescent="0.2">
      <c r="A1199" s="148" t="s">
        <v>559</v>
      </c>
      <c r="B1199" s="149" t="s">
        <v>1279</v>
      </c>
    </row>
    <row r="1200" spans="1:2" x14ac:dyDescent="0.2">
      <c r="A1200" s="148" t="s">
        <v>561</v>
      </c>
      <c r="B1200" s="149" t="s">
        <v>1280</v>
      </c>
    </row>
    <row r="1201" spans="1:2" x14ac:dyDescent="0.2">
      <c r="A1201" s="148" t="s">
        <v>1281</v>
      </c>
      <c r="B1201" s="149" t="s">
        <v>1282</v>
      </c>
    </row>
    <row r="1202" spans="1:2" x14ac:dyDescent="0.2">
      <c r="A1202" s="148" t="s">
        <v>1144</v>
      </c>
      <c r="B1202" s="149" t="s">
        <v>1283</v>
      </c>
    </row>
    <row r="1203" spans="1:2" x14ac:dyDescent="0.2">
      <c r="A1203" s="148" t="s">
        <v>1281</v>
      </c>
      <c r="B1203" s="149" t="s">
        <v>1284</v>
      </c>
    </row>
    <row r="1204" spans="1:2" x14ac:dyDescent="0.2">
      <c r="A1204" s="148" t="s">
        <v>1285</v>
      </c>
      <c r="B1204" s="149" t="s">
        <v>1286</v>
      </c>
    </row>
    <row r="1205" spans="1:2" x14ac:dyDescent="0.2">
      <c r="A1205" s="148" t="s">
        <v>1287</v>
      </c>
      <c r="B1205" s="149" t="s">
        <v>1288</v>
      </c>
    </row>
    <row r="1206" spans="1:2" x14ac:dyDescent="0.2">
      <c r="A1206" s="148" t="s">
        <v>1289</v>
      </c>
      <c r="B1206" s="149" t="s">
        <v>1290</v>
      </c>
    </row>
    <row r="1207" spans="1:2" x14ac:dyDescent="0.2">
      <c r="A1207" s="148" t="s">
        <v>1291</v>
      </c>
      <c r="B1207" s="149" t="s">
        <v>1292</v>
      </c>
    </row>
    <row r="1208" spans="1:2" x14ac:dyDescent="0.2">
      <c r="A1208" s="148" t="s">
        <v>1293</v>
      </c>
      <c r="B1208" s="149" t="s">
        <v>1294</v>
      </c>
    </row>
    <row r="1209" spans="1:2" x14ac:dyDescent="0.2">
      <c r="A1209" s="148" t="s">
        <v>1295</v>
      </c>
      <c r="B1209" s="149" t="s">
        <v>1296</v>
      </c>
    </row>
    <row r="1210" spans="1:2" x14ac:dyDescent="0.2">
      <c r="A1210" s="148" t="s">
        <v>1297</v>
      </c>
      <c r="B1210" s="149" t="s">
        <v>1298</v>
      </c>
    </row>
    <row r="1211" spans="1:2" x14ac:dyDescent="0.2">
      <c r="A1211" s="148" t="s">
        <v>1299</v>
      </c>
      <c r="B1211" s="149" t="s">
        <v>1300</v>
      </c>
    </row>
    <row r="1212" spans="1:2" x14ac:dyDescent="0.2">
      <c r="A1212" s="148" t="s">
        <v>1301</v>
      </c>
      <c r="B1212" s="149" t="s">
        <v>1302</v>
      </c>
    </row>
    <row r="1213" spans="1:2" x14ac:dyDescent="0.2">
      <c r="A1213" s="148" t="s">
        <v>1303</v>
      </c>
      <c r="B1213" s="149" t="s">
        <v>1304</v>
      </c>
    </row>
    <row r="1214" spans="1:2" x14ac:dyDescent="0.2">
      <c r="A1214" s="148" t="s">
        <v>1305</v>
      </c>
      <c r="B1214" s="149" t="s">
        <v>1306</v>
      </c>
    </row>
    <row r="1215" spans="1:2" x14ac:dyDescent="0.2">
      <c r="A1215" s="148" t="s">
        <v>1307</v>
      </c>
      <c r="B1215" s="149" t="s">
        <v>1308</v>
      </c>
    </row>
    <row r="1216" spans="1:2" x14ac:dyDescent="0.2">
      <c r="A1216" s="148" t="s">
        <v>1309</v>
      </c>
      <c r="B1216" s="149" t="s">
        <v>1310</v>
      </c>
    </row>
    <row r="1217" spans="1:2" x14ac:dyDescent="0.2">
      <c r="A1217" s="148" t="s">
        <v>1311</v>
      </c>
      <c r="B1217" s="149" t="s">
        <v>1312</v>
      </c>
    </row>
    <row r="1218" spans="1:2" x14ac:dyDescent="0.2">
      <c r="A1218" s="148" t="s">
        <v>1313</v>
      </c>
      <c r="B1218" s="149" t="s">
        <v>1314</v>
      </c>
    </row>
    <row r="1219" spans="1:2" x14ac:dyDescent="0.2">
      <c r="A1219" s="148" t="s">
        <v>1315</v>
      </c>
      <c r="B1219" s="149" t="s">
        <v>1316</v>
      </c>
    </row>
    <row r="1220" spans="1:2" x14ac:dyDescent="0.2">
      <c r="A1220" s="148" t="s">
        <v>1317</v>
      </c>
      <c r="B1220" s="149" t="s">
        <v>1318</v>
      </c>
    </row>
    <row r="1221" spans="1:2" x14ac:dyDescent="0.2">
      <c r="A1221" s="148" t="s">
        <v>1319</v>
      </c>
      <c r="B1221" s="149" t="s">
        <v>1320</v>
      </c>
    </row>
    <row r="1222" spans="1:2" x14ac:dyDescent="0.2">
      <c r="A1222" s="148" t="s">
        <v>1321</v>
      </c>
      <c r="B1222" s="149" t="s">
        <v>1322</v>
      </c>
    </row>
    <row r="1223" spans="1:2" x14ac:dyDescent="0.2">
      <c r="A1223" s="148" t="s">
        <v>1323</v>
      </c>
      <c r="B1223" s="149" t="s">
        <v>1324</v>
      </c>
    </row>
    <row r="1224" spans="1:2" x14ac:dyDescent="0.2">
      <c r="A1224" s="148" t="s">
        <v>1325</v>
      </c>
      <c r="B1224" s="149" t="s">
        <v>1326</v>
      </c>
    </row>
    <row r="1225" spans="1:2" x14ac:dyDescent="0.2">
      <c r="A1225" s="148" t="s">
        <v>1327</v>
      </c>
      <c r="B1225" s="149" t="s">
        <v>1328</v>
      </c>
    </row>
    <row r="1226" spans="1:2" x14ac:dyDescent="0.2">
      <c r="A1226" s="148" t="s">
        <v>1329</v>
      </c>
      <c r="B1226" s="149" t="s">
        <v>1330</v>
      </c>
    </row>
    <row r="1227" spans="1:2" x14ac:dyDescent="0.2">
      <c r="A1227" s="148" t="s">
        <v>1331</v>
      </c>
      <c r="B1227" s="149" t="s">
        <v>1332</v>
      </c>
    </row>
    <row r="1228" spans="1:2" x14ac:dyDescent="0.2">
      <c r="A1228" s="148" t="s">
        <v>304</v>
      </c>
      <c r="B1228" s="149" t="s">
        <v>1333</v>
      </c>
    </row>
    <row r="1229" spans="1:2" x14ac:dyDescent="0.2">
      <c r="A1229" s="148" t="s">
        <v>307</v>
      </c>
      <c r="B1229" s="149" t="s">
        <v>1334</v>
      </c>
    </row>
    <row r="1230" spans="1:2" x14ac:dyDescent="0.2">
      <c r="A1230" s="148" t="s">
        <v>309</v>
      </c>
      <c r="B1230" s="149" t="s">
        <v>1335</v>
      </c>
    </row>
    <row r="1231" spans="1:2" x14ac:dyDescent="0.2">
      <c r="A1231" s="148" t="s">
        <v>311</v>
      </c>
      <c r="B1231" s="149" t="s">
        <v>1336</v>
      </c>
    </row>
    <row r="1232" spans="1:2" x14ac:dyDescent="0.2">
      <c r="A1232" s="148" t="s">
        <v>316</v>
      </c>
      <c r="B1232" s="149" t="s">
        <v>1337</v>
      </c>
    </row>
    <row r="1233" spans="1:2" x14ac:dyDescent="0.2">
      <c r="A1233" s="148" t="s">
        <v>318</v>
      </c>
      <c r="B1233" s="149" t="s">
        <v>1338</v>
      </c>
    </row>
    <row r="1234" spans="1:2" x14ac:dyDescent="0.2">
      <c r="A1234" s="148" t="s">
        <v>320</v>
      </c>
      <c r="B1234" s="149" t="s">
        <v>1339</v>
      </c>
    </row>
    <row r="1235" spans="1:2" x14ac:dyDescent="0.2">
      <c r="A1235" s="148" t="s">
        <v>322</v>
      </c>
      <c r="B1235" s="149" t="s">
        <v>1340</v>
      </c>
    </row>
    <row r="1236" spans="1:2" x14ac:dyDescent="0.2">
      <c r="A1236" s="148" t="s">
        <v>324</v>
      </c>
      <c r="B1236" s="149" t="s">
        <v>1341</v>
      </c>
    </row>
    <row r="1237" spans="1:2" x14ac:dyDescent="0.2">
      <c r="A1237" s="148" t="s">
        <v>326</v>
      </c>
      <c r="B1237" s="149" t="s">
        <v>1342</v>
      </c>
    </row>
    <row r="1238" spans="1:2" x14ac:dyDescent="0.2">
      <c r="A1238" s="148" t="s">
        <v>328</v>
      </c>
      <c r="B1238" s="149" t="s">
        <v>1343</v>
      </c>
    </row>
    <row r="1239" spans="1:2" x14ac:dyDescent="0.2">
      <c r="A1239" s="148" t="s">
        <v>330</v>
      </c>
      <c r="B1239" s="149" t="s">
        <v>1344</v>
      </c>
    </row>
    <row r="1240" spans="1:2" x14ac:dyDescent="0.2">
      <c r="A1240" s="148" t="s">
        <v>332</v>
      </c>
      <c r="B1240" s="149" t="s">
        <v>1345</v>
      </c>
    </row>
    <row r="1241" spans="1:2" x14ac:dyDescent="0.2">
      <c r="A1241" s="148" t="s">
        <v>334</v>
      </c>
      <c r="B1241" s="149" t="s">
        <v>1346</v>
      </c>
    </row>
    <row r="1242" spans="1:2" x14ac:dyDescent="0.2">
      <c r="A1242" s="148" t="s">
        <v>1347</v>
      </c>
      <c r="B1242" s="149" t="s">
        <v>1348</v>
      </c>
    </row>
    <row r="1243" spans="1:2" x14ac:dyDescent="0.2">
      <c r="A1243" s="148" t="s">
        <v>336</v>
      </c>
      <c r="B1243" s="149" t="s">
        <v>1349</v>
      </c>
    </row>
    <row r="1244" spans="1:2" x14ac:dyDescent="0.2">
      <c r="A1244" s="148" t="s">
        <v>338</v>
      </c>
      <c r="B1244" s="149" t="s">
        <v>1350</v>
      </c>
    </row>
    <row r="1245" spans="1:2" x14ac:dyDescent="0.2">
      <c r="A1245" s="148" t="s">
        <v>340</v>
      </c>
      <c r="B1245" s="149" t="s">
        <v>1351</v>
      </c>
    </row>
    <row r="1246" spans="1:2" x14ac:dyDescent="0.2">
      <c r="A1246" s="148" t="s">
        <v>342</v>
      </c>
      <c r="B1246" s="149" t="s">
        <v>1352</v>
      </c>
    </row>
    <row r="1247" spans="1:2" x14ac:dyDescent="0.2">
      <c r="A1247" s="148" t="s">
        <v>1353</v>
      </c>
      <c r="B1247" s="149" t="s">
        <v>1354</v>
      </c>
    </row>
    <row r="1248" spans="1:2" x14ac:dyDescent="0.2">
      <c r="A1248" s="148" t="s">
        <v>1355</v>
      </c>
      <c r="B1248" s="149" t="s">
        <v>1356</v>
      </c>
    </row>
    <row r="1249" spans="1:2" x14ac:dyDescent="0.2">
      <c r="A1249" s="148" t="s">
        <v>1357</v>
      </c>
      <c r="B1249" s="149" t="s">
        <v>1358</v>
      </c>
    </row>
    <row r="1250" spans="1:2" x14ac:dyDescent="0.2">
      <c r="A1250" s="148" t="s">
        <v>1359</v>
      </c>
      <c r="B1250" s="149" t="s">
        <v>1360</v>
      </c>
    </row>
    <row r="1251" spans="1:2" x14ac:dyDescent="0.2">
      <c r="A1251" s="148" t="s">
        <v>1361</v>
      </c>
      <c r="B1251" s="149" t="s">
        <v>1362</v>
      </c>
    </row>
    <row r="1252" spans="1:2" x14ac:dyDescent="0.2">
      <c r="A1252" s="148" t="s">
        <v>1363</v>
      </c>
      <c r="B1252" s="149" t="s">
        <v>1364</v>
      </c>
    </row>
    <row r="1253" spans="1:2" x14ac:dyDescent="0.2">
      <c r="A1253" s="148" t="s">
        <v>344</v>
      </c>
      <c r="B1253" s="149" t="s">
        <v>1365</v>
      </c>
    </row>
    <row r="1254" spans="1:2" x14ac:dyDescent="0.2">
      <c r="A1254" s="148" t="s">
        <v>1366</v>
      </c>
      <c r="B1254" s="149" t="s">
        <v>1367</v>
      </c>
    </row>
    <row r="1255" spans="1:2" x14ac:dyDescent="0.2">
      <c r="A1255" s="148" t="s">
        <v>346</v>
      </c>
      <c r="B1255" s="149" t="s">
        <v>1368</v>
      </c>
    </row>
    <row r="1256" spans="1:2" x14ac:dyDescent="0.2">
      <c r="A1256" s="148" t="s">
        <v>1369</v>
      </c>
      <c r="B1256" s="149" t="s">
        <v>1370</v>
      </c>
    </row>
    <row r="1257" spans="1:2" x14ac:dyDescent="0.2">
      <c r="A1257" s="148" t="s">
        <v>1371</v>
      </c>
      <c r="B1257" s="149" t="s">
        <v>1372</v>
      </c>
    </row>
    <row r="1258" spans="1:2" x14ac:dyDescent="0.2">
      <c r="A1258" s="148" t="s">
        <v>348</v>
      </c>
      <c r="B1258" s="149" t="s">
        <v>1373</v>
      </c>
    </row>
    <row r="1259" spans="1:2" x14ac:dyDescent="0.2">
      <c r="A1259" s="148" t="s">
        <v>1374</v>
      </c>
      <c r="B1259" s="149" t="s">
        <v>1375</v>
      </c>
    </row>
    <row r="1260" spans="1:2" x14ac:dyDescent="0.2">
      <c r="A1260" s="148" t="s">
        <v>350</v>
      </c>
      <c r="B1260" s="149" t="s">
        <v>1376</v>
      </c>
    </row>
    <row r="1261" spans="1:2" x14ac:dyDescent="0.2">
      <c r="A1261" s="148" t="s">
        <v>1377</v>
      </c>
      <c r="B1261" s="149" t="s">
        <v>1378</v>
      </c>
    </row>
    <row r="1262" spans="1:2" x14ac:dyDescent="0.2">
      <c r="A1262" s="148" t="s">
        <v>1379</v>
      </c>
      <c r="B1262" s="149" t="s">
        <v>1380</v>
      </c>
    </row>
    <row r="1263" spans="1:2" x14ac:dyDescent="0.2">
      <c r="A1263" s="148" t="s">
        <v>1381</v>
      </c>
      <c r="B1263" s="149" t="s">
        <v>1382</v>
      </c>
    </row>
    <row r="1264" spans="1:2" x14ac:dyDescent="0.2">
      <c r="A1264" s="148" t="s">
        <v>1383</v>
      </c>
      <c r="B1264" s="149" t="s">
        <v>1384</v>
      </c>
    </row>
    <row r="1265" spans="1:2" x14ac:dyDescent="0.2">
      <c r="A1265" s="148" t="s">
        <v>352</v>
      </c>
      <c r="B1265" s="149" t="s">
        <v>1385</v>
      </c>
    </row>
    <row r="1266" spans="1:2" x14ac:dyDescent="0.2">
      <c r="A1266" s="148" t="s">
        <v>1386</v>
      </c>
      <c r="B1266" s="149" t="s">
        <v>1387</v>
      </c>
    </row>
    <row r="1267" spans="1:2" x14ac:dyDescent="0.2">
      <c r="A1267" s="148" t="s">
        <v>354</v>
      </c>
      <c r="B1267" s="149" t="s">
        <v>1388</v>
      </c>
    </row>
    <row r="1268" spans="1:2" x14ac:dyDescent="0.2">
      <c r="A1268" s="148" t="s">
        <v>356</v>
      </c>
      <c r="B1268" s="149" t="s">
        <v>1389</v>
      </c>
    </row>
    <row r="1269" spans="1:2" x14ac:dyDescent="0.2">
      <c r="A1269" s="148" t="s">
        <v>1390</v>
      </c>
      <c r="B1269" s="149" t="s">
        <v>1391</v>
      </c>
    </row>
    <row r="1270" spans="1:2" x14ac:dyDescent="0.2">
      <c r="A1270" s="148" t="s">
        <v>1392</v>
      </c>
      <c r="B1270" s="149" t="s">
        <v>1393</v>
      </c>
    </row>
    <row r="1271" spans="1:2" x14ac:dyDescent="0.2">
      <c r="A1271" s="148" t="s">
        <v>1394</v>
      </c>
      <c r="B1271" s="149" t="s">
        <v>1395</v>
      </c>
    </row>
    <row r="1272" spans="1:2" x14ac:dyDescent="0.2">
      <c r="A1272" s="148" t="s">
        <v>358</v>
      </c>
      <c r="B1272" s="149" t="s">
        <v>1396</v>
      </c>
    </row>
    <row r="1273" spans="1:2" x14ac:dyDescent="0.2">
      <c r="A1273" s="148" t="s">
        <v>360</v>
      </c>
      <c r="B1273" s="149" t="s">
        <v>1397</v>
      </c>
    </row>
    <row r="1274" spans="1:2" x14ac:dyDescent="0.2">
      <c r="A1274" s="148" t="s">
        <v>362</v>
      </c>
      <c r="B1274" s="149" t="s">
        <v>1398</v>
      </c>
    </row>
    <row r="1275" spans="1:2" x14ac:dyDescent="0.2">
      <c r="A1275" s="148" t="s">
        <v>364</v>
      </c>
      <c r="B1275" s="149" t="s">
        <v>1399</v>
      </c>
    </row>
    <row r="1276" spans="1:2" x14ac:dyDescent="0.2">
      <c r="A1276" s="148" t="s">
        <v>366</v>
      </c>
      <c r="B1276" s="149" t="s">
        <v>1400</v>
      </c>
    </row>
    <row r="1277" spans="1:2" x14ac:dyDescent="0.2">
      <c r="A1277" s="148" t="s">
        <v>368</v>
      </c>
      <c r="B1277" s="149" t="s">
        <v>1401</v>
      </c>
    </row>
    <row r="1278" spans="1:2" x14ac:dyDescent="0.2">
      <c r="A1278" s="148" t="s">
        <v>370</v>
      </c>
      <c r="B1278" s="149" t="s">
        <v>1402</v>
      </c>
    </row>
    <row r="1279" spans="1:2" x14ac:dyDescent="0.2">
      <c r="A1279" s="148" t="s">
        <v>1403</v>
      </c>
      <c r="B1279" s="149" t="s">
        <v>1404</v>
      </c>
    </row>
    <row r="1280" spans="1:2" x14ac:dyDescent="0.2">
      <c r="A1280" s="148" t="s">
        <v>374</v>
      </c>
      <c r="B1280" s="149" t="s">
        <v>1405</v>
      </c>
    </row>
    <row r="1281" spans="1:2" x14ac:dyDescent="0.2">
      <c r="A1281" s="148" t="s">
        <v>1406</v>
      </c>
      <c r="B1281" s="149" t="s">
        <v>1407</v>
      </c>
    </row>
    <row r="1282" spans="1:2" x14ac:dyDescent="0.2">
      <c r="A1282" s="148" t="s">
        <v>376</v>
      </c>
      <c r="B1282" s="149" t="s">
        <v>1408</v>
      </c>
    </row>
    <row r="1283" spans="1:2" x14ac:dyDescent="0.2">
      <c r="A1283" s="148" t="s">
        <v>378</v>
      </c>
      <c r="B1283" s="149" t="s">
        <v>1409</v>
      </c>
    </row>
    <row r="1284" spans="1:2" x14ac:dyDescent="0.2">
      <c r="A1284" s="148" t="s">
        <v>380</v>
      </c>
      <c r="B1284" s="149" t="s">
        <v>1410</v>
      </c>
    </row>
    <row r="1285" spans="1:2" x14ac:dyDescent="0.2">
      <c r="A1285" s="148" t="s">
        <v>382</v>
      </c>
      <c r="B1285" s="149" t="s">
        <v>1411</v>
      </c>
    </row>
    <row r="1286" spans="1:2" x14ac:dyDescent="0.2">
      <c r="A1286" s="148" t="s">
        <v>1412</v>
      </c>
      <c r="B1286" s="149" t="s">
        <v>1413</v>
      </c>
    </row>
    <row r="1287" spans="1:2" x14ac:dyDescent="0.2">
      <c r="A1287" s="148" t="s">
        <v>384</v>
      </c>
      <c r="B1287" s="149" t="s">
        <v>1414</v>
      </c>
    </row>
    <row r="1288" spans="1:2" x14ac:dyDescent="0.2">
      <c r="A1288" s="148" t="s">
        <v>1415</v>
      </c>
      <c r="B1288" s="149" t="s">
        <v>1416</v>
      </c>
    </row>
    <row r="1289" spans="1:2" x14ac:dyDescent="0.2">
      <c r="A1289" s="148" t="s">
        <v>386</v>
      </c>
      <c r="B1289" s="149" t="s">
        <v>1417</v>
      </c>
    </row>
    <row r="1290" spans="1:2" x14ac:dyDescent="0.2">
      <c r="A1290" s="148" t="s">
        <v>388</v>
      </c>
      <c r="B1290" s="149" t="s">
        <v>1418</v>
      </c>
    </row>
    <row r="1291" spans="1:2" x14ac:dyDescent="0.2">
      <c r="A1291" s="148" t="s">
        <v>390</v>
      </c>
      <c r="B1291" s="149" t="s">
        <v>1419</v>
      </c>
    </row>
    <row r="1292" spans="1:2" x14ac:dyDescent="0.2">
      <c r="A1292" s="148" t="s">
        <v>1420</v>
      </c>
      <c r="B1292" s="149" t="s">
        <v>1421</v>
      </c>
    </row>
    <row r="1293" spans="1:2" x14ac:dyDescent="0.2">
      <c r="A1293" s="148" t="s">
        <v>1422</v>
      </c>
      <c r="B1293" s="149" t="s">
        <v>1423</v>
      </c>
    </row>
    <row r="1294" spans="1:2" x14ac:dyDescent="0.2">
      <c r="A1294" s="148" t="s">
        <v>392</v>
      </c>
      <c r="B1294" s="149" t="s">
        <v>1424</v>
      </c>
    </row>
    <row r="1295" spans="1:2" x14ac:dyDescent="0.2">
      <c r="A1295" s="148" t="s">
        <v>394</v>
      </c>
      <c r="B1295" s="149" t="s">
        <v>1425</v>
      </c>
    </row>
    <row r="1296" spans="1:2" x14ac:dyDescent="0.2">
      <c r="A1296" s="148" t="s">
        <v>396</v>
      </c>
      <c r="B1296" s="149" t="s">
        <v>1426</v>
      </c>
    </row>
    <row r="1297" spans="1:2" x14ac:dyDescent="0.2">
      <c r="A1297" s="148" t="s">
        <v>398</v>
      </c>
      <c r="B1297" s="149" t="s">
        <v>1427</v>
      </c>
    </row>
    <row r="1298" spans="1:2" x14ac:dyDescent="0.2">
      <c r="A1298" s="148" t="s">
        <v>1428</v>
      </c>
      <c r="B1298" s="149" t="s">
        <v>1429</v>
      </c>
    </row>
    <row r="1299" spans="1:2" x14ac:dyDescent="0.2">
      <c r="A1299" s="148" t="s">
        <v>400</v>
      </c>
      <c r="B1299" s="149" t="s">
        <v>1430</v>
      </c>
    </row>
    <row r="1300" spans="1:2" x14ac:dyDescent="0.2">
      <c r="A1300" s="148" t="s">
        <v>402</v>
      </c>
      <c r="B1300" s="149" t="s">
        <v>1431</v>
      </c>
    </row>
    <row r="1301" spans="1:2" x14ac:dyDescent="0.2">
      <c r="A1301" s="148" t="s">
        <v>1432</v>
      </c>
      <c r="B1301" s="149" t="s">
        <v>1433</v>
      </c>
    </row>
    <row r="1302" spans="1:2" x14ac:dyDescent="0.2">
      <c r="A1302" s="148" t="s">
        <v>404</v>
      </c>
      <c r="B1302" s="149" t="s">
        <v>1434</v>
      </c>
    </row>
    <row r="1303" spans="1:2" x14ac:dyDescent="0.2">
      <c r="A1303" s="148" t="s">
        <v>406</v>
      </c>
      <c r="B1303" s="149" t="s">
        <v>1435</v>
      </c>
    </row>
    <row r="1304" spans="1:2" x14ac:dyDescent="0.2">
      <c r="A1304" s="148" t="s">
        <v>1436</v>
      </c>
      <c r="B1304" s="149" t="s">
        <v>1437</v>
      </c>
    </row>
    <row r="1305" spans="1:2" x14ac:dyDescent="0.2">
      <c r="A1305" s="148" t="s">
        <v>1438</v>
      </c>
      <c r="B1305" s="149" t="s">
        <v>1439</v>
      </c>
    </row>
    <row r="1306" spans="1:2" x14ac:dyDescent="0.2">
      <c r="A1306" s="148" t="s">
        <v>1440</v>
      </c>
      <c r="B1306" s="149" t="s">
        <v>1441</v>
      </c>
    </row>
    <row r="1307" spans="1:2" x14ac:dyDescent="0.2">
      <c r="A1307" s="148" t="s">
        <v>1442</v>
      </c>
      <c r="B1307" s="149" t="s">
        <v>1443</v>
      </c>
    </row>
    <row r="1308" spans="1:2" x14ac:dyDescent="0.2">
      <c r="A1308" s="148" t="s">
        <v>1444</v>
      </c>
      <c r="B1308" s="149" t="s">
        <v>1445</v>
      </c>
    </row>
    <row r="1309" spans="1:2" x14ac:dyDescent="0.2">
      <c r="A1309" s="148" t="s">
        <v>408</v>
      </c>
      <c r="B1309" s="149" t="s">
        <v>1446</v>
      </c>
    </row>
    <row r="1310" spans="1:2" x14ac:dyDescent="0.2">
      <c r="A1310" s="148" t="s">
        <v>410</v>
      </c>
      <c r="B1310" s="149" t="s">
        <v>1447</v>
      </c>
    </row>
    <row r="1311" spans="1:2" x14ac:dyDescent="0.2">
      <c r="A1311" s="148" t="s">
        <v>1448</v>
      </c>
      <c r="B1311" s="149" t="s">
        <v>1449</v>
      </c>
    </row>
    <row r="1312" spans="1:2" x14ac:dyDescent="0.2">
      <c r="A1312" s="148" t="s">
        <v>1450</v>
      </c>
      <c r="B1312" s="149" t="s">
        <v>1451</v>
      </c>
    </row>
    <row r="1313" spans="1:2" x14ac:dyDescent="0.2">
      <c r="A1313" s="148" t="s">
        <v>1452</v>
      </c>
      <c r="B1313" s="149" t="s">
        <v>1453</v>
      </c>
    </row>
    <row r="1314" spans="1:2" x14ac:dyDescent="0.2">
      <c r="A1314" s="148" t="s">
        <v>1454</v>
      </c>
      <c r="B1314" s="149" t="s">
        <v>1455</v>
      </c>
    </row>
    <row r="1315" spans="1:2" x14ac:dyDescent="0.2">
      <c r="A1315" s="148" t="s">
        <v>1456</v>
      </c>
      <c r="B1315" s="149" t="s">
        <v>1457</v>
      </c>
    </row>
    <row r="1316" spans="1:2" x14ac:dyDescent="0.2">
      <c r="A1316" s="148" t="s">
        <v>1458</v>
      </c>
      <c r="B1316" s="149" t="s">
        <v>1459</v>
      </c>
    </row>
    <row r="1317" spans="1:2" x14ac:dyDescent="0.2">
      <c r="A1317" s="148" t="s">
        <v>1460</v>
      </c>
      <c r="B1317" s="149" t="s">
        <v>1461</v>
      </c>
    </row>
    <row r="1318" spans="1:2" x14ac:dyDescent="0.2">
      <c r="A1318" s="148" t="s">
        <v>1462</v>
      </c>
      <c r="B1318" s="149" t="s">
        <v>1463</v>
      </c>
    </row>
    <row r="1319" spans="1:2" x14ac:dyDescent="0.2">
      <c r="A1319" s="148" t="s">
        <v>412</v>
      </c>
      <c r="B1319" s="149" t="s">
        <v>1464</v>
      </c>
    </row>
    <row r="1320" spans="1:2" x14ac:dyDescent="0.2">
      <c r="A1320" s="148" t="s">
        <v>1465</v>
      </c>
      <c r="B1320" s="149" t="s">
        <v>1466</v>
      </c>
    </row>
    <row r="1321" spans="1:2" x14ac:dyDescent="0.2">
      <c r="A1321" s="148" t="s">
        <v>1467</v>
      </c>
      <c r="B1321" s="149" t="s">
        <v>1468</v>
      </c>
    </row>
    <row r="1322" spans="1:2" x14ac:dyDescent="0.2">
      <c r="A1322" s="148" t="s">
        <v>1469</v>
      </c>
      <c r="B1322" s="149" t="s">
        <v>1470</v>
      </c>
    </row>
    <row r="1323" spans="1:2" x14ac:dyDescent="0.2">
      <c r="A1323" s="148" t="s">
        <v>1471</v>
      </c>
      <c r="B1323" s="149" t="s">
        <v>1472</v>
      </c>
    </row>
    <row r="1324" spans="1:2" x14ac:dyDescent="0.2">
      <c r="A1324" s="148" t="s">
        <v>414</v>
      </c>
      <c r="B1324" s="149" t="s">
        <v>1473</v>
      </c>
    </row>
    <row r="1325" spans="1:2" x14ac:dyDescent="0.2">
      <c r="A1325" s="148" t="s">
        <v>416</v>
      </c>
      <c r="B1325" s="149" t="s">
        <v>1474</v>
      </c>
    </row>
    <row r="1326" spans="1:2" x14ac:dyDescent="0.2">
      <c r="A1326" s="148" t="s">
        <v>1475</v>
      </c>
      <c r="B1326" s="149" t="s">
        <v>1476</v>
      </c>
    </row>
    <row r="1327" spans="1:2" x14ac:dyDescent="0.2">
      <c r="A1327" s="148" t="s">
        <v>418</v>
      </c>
      <c r="B1327" s="149" t="s">
        <v>1477</v>
      </c>
    </row>
    <row r="1328" spans="1:2" x14ac:dyDescent="0.2">
      <c r="A1328" s="148" t="s">
        <v>1478</v>
      </c>
      <c r="B1328" s="149" t="s">
        <v>1479</v>
      </c>
    </row>
    <row r="1329" spans="1:2" x14ac:dyDescent="0.2">
      <c r="A1329" s="148" t="s">
        <v>1480</v>
      </c>
      <c r="B1329" s="149" t="s">
        <v>1481</v>
      </c>
    </row>
    <row r="1330" spans="1:2" x14ac:dyDescent="0.2">
      <c r="A1330" s="148" t="s">
        <v>1482</v>
      </c>
      <c r="B1330" s="149" t="s">
        <v>1483</v>
      </c>
    </row>
    <row r="1331" spans="1:2" x14ac:dyDescent="0.2">
      <c r="A1331" s="148" t="s">
        <v>1484</v>
      </c>
      <c r="B1331" s="149" t="s">
        <v>1485</v>
      </c>
    </row>
    <row r="1332" spans="1:2" x14ac:dyDescent="0.2">
      <c r="A1332" s="148" t="s">
        <v>1486</v>
      </c>
      <c r="B1332" s="149" t="s">
        <v>1487</v>
      </c>
    </row>
    <row r="1333" spans="1:2" x14ac:dyDescent="0.2">
      <c r="A1333" s="148" t="s">
        <v>1488</v>
      </c>
      <c r="B1333" s="149" t="s">
        <v>1489</v>
      </c>
    </row>
    <row r="1334" spans="1:2" x14ac:dyDescent="0.2">
      <c r="A1334" s="148" t="s">
        <v>1490</v>
      </c>
      <c r="B1334" s="149" t="s">
        <v>1491</v>
      </c>
    </row>
    <row r="1335" spans="1:2" x14ac:dyDescent="0.2">
      <c r="A1335" s="148" t="s">
        <v>1492</v>
      </c>
      <c r="B1335" s="149" t="s">
        <v>1493</v>
      </c>
    </row>
    <row r="1336" spans="1:2" x14ac:dyDescent="0.2">
      <c r="A1336" s="148" t="s">
        <v>1494</v>
      </c>
      <c r="B1336" s="149" t="s">
        <v>1495</v>
      </c>
    </row>
    <row r="1337" spans="1:2" x14ac:dyDescent="0.2">
      <c r="A1337" s="148" t="s">
        <v>1496</v>
      </c>
      <c r="B1337" s="149" t="s">
        <v>1497</v>
      </c>
    </row>
    <row r="1338" spans="1:2" x14ac:dyDescent="0.2">
      <c r="A1338" s="148" t="s">
        <v>1498</v>
      </c>
      <c r="B1338" s="149" t="s">
        <v>1499</v>
      </c>
    </row>
    <row r="1339" spans="1:2" x14ac:dyDescent="0.2">
      <c r="A1339" s="148" t="s">
        <v>1500</v>
      </c>
      <c r="B1339" s="149" t="s">
        <v>1501</v>
      </c>
    </row>
    <row r="1340" spans="1:2" x14ac:dyDescent="0.2">
      <c r="A1340" s="148" t="s">
        <v>1502</v>
      </c>
      <c r="B1340" s="149" t="s">
        <v>1503</v>
      </c>
    </row>
    <row r="1341" spans="1:2" x14ac:dyDescent="0.2">
      <c r="A1341" s="148" t="s">
        <v>1504</v>
      </c>
      <c r="B1341" s="149" t="s">
        <v>1505</v>
      </c>
    </row>
    <row r="1342" spans="1:2" x14ac:dyDescent="0.2">
      <c r="A1342" s="148" t="s">
        <v>1506</v>
      </c>
      <c r="B1342" s="149" t="s">
        <v>1507</v>
      </c>
    </row>
    <row r="1343" spans="1:2" x14ac:dyDescent="0.2">
      <c r="A1343" s="148" t="s">
        <v>1508</v>
      </c>
      <c r="B1343" s="149" t="s">
        <v>1509</v>
      </c>
    </row>
    <row r="1344" spans="1:2" x14ac:dyDescent="0.2">
      <c r="A1344" s="148" t="s">
        <v>1510</v>
      </c>
      <c r="B1344" s="149" t="s">
        <v>1511</v>
      </c>
    </row>
    <row r="1345" spans="1:2" x14ac:dyDescent="0.2">
      <c r="A1345" s="148" t="s">
        <v>1512</v>
      </c>
      <c r="B1345" s="149" t="s">
        <v>1513</v>
      </c>
    </row>
    <row r="1346" spans="1:2" x14ac:dyDescent="0.2">
      <c r="A1346" s="148" t="s">
        <v>1514</v>
      </c>
      <c r="B1346" s="149" t="s">
        <v>1515</v>
      </c>
    </row>
    <row r="1347" spans="1:2" x14ac:dyDescent="0.2">
      <c r="A1347" s="148" t="s">
        <v>1516</v>
      </c>
      <c r="B1347" s="149" t="s">
        <v>1517</v>
      </c>
    </row>
    <row r="1348" spans="1:2" x14ac:dyDescent="0.2">
      <c r="A1348" s="148" t="s">
        <v>1518</v>
      </c>
      <c r="B1348" s="149" t="s">
        <v>1519</v>
      </c>
    </row>
    <row r="1349" spans="1:2" x14ac:dyDescent="0.2">
      <c r="A1349" s="148" t="s">
        <v>1520</v>
      </c>
      <c r="B1349" s="149" t="s">
        <v>1521</v>
      </c>
    </row>
    <row r="1350" spans="1:2" x14ac:dyDescent="0.2">
      <c r="A1350" s="148" t="s">
        <v>1522</v>
      </c>
      <c r="B1350" s="149" t="s">
        <v>1523</v>
      </c>
    </row>
    <row r="1351" spans="1:2" x14ac:dyDescent="0.2">
      <c r="A1351" s="148" t="s">
        <v>420</v>
      </c>
      <c r="B1351" s="149" t="s">
        <v>1524</v>
      </c>
    </row>
    <row r="1352" spans="1:2" x14ac:dyDescent="0.2">
      <c r="A1352" s="148" t="s">
        <v>1525</v>
      </c>
      <c r="B1352" s="149" t="s">
        <v>1526</v>
      </c>
    </row>
    <row r="1353" spans="1:2" x14ac:dyDescent="0.2">
      <c r="A1353" s="148" t="s">
        <v>1527</v>
      </c>
      <c r="B1353" s="149" t="s">
        <v>1528</v>
      </c>
    </row>
    <row r="1354" spans="1:2" x14ac:dyDescent="0.2">
      <c r="A1354" s="148" t="s">
        <v>1529</v>
      </c>
      <c r="B1354" s="149" t="s">
        <v>1530</v>
      </c>
    </row>
    <row r="1355" spans="1:2" x14ac:dyDescent="0.2">
      <c r="A1355" s="148" t="s">
        <v>1531</v>
      </c>
      <c r="B1355" s="149" t="s">
        <v>1532</v>
      </c>
    </row>
    <row r="1356" spans="1:2" x14ac:dyDescent="0.2">
      <c r="A1356" s="148" t="s">
        <v>1533</v>
      </c>
      <c r="B1356" s="149" t="s">
        <v>1534</v>
      </c>
    </row>
    <row r="1357" spans="1:2" x14ac:dyDescent="0.2">
      <c r="A1357" s="148" t="s">
        <v>1535</v>
      </c>
      <c r="B1357" s="149" t="s">
        <v>1536</v>
      </c>
    </row>
    <row r="1358" spans="1:2" x14ac:dyDescent="0.2">
      <c r="A1358" s="148" t="s">
        <v>1537</v>
      </c>
      <c r="B1358" s="149" t="s">
        <v>1538</v>
      </c>
    </row>
    <row r="1359" spans="1:2" x14ac:dyDescent="0.2">
      <c r="A1359" s="148" t="s">
        <v>1539</v>
      </c>
      <c r="B1359" s="149" t="s">
        <v>1540</v>
      </c>
    </row>
    <row r="1360" spans="1:2" x14ac:dyDescent="0.2">
      <c r="A1360" s="148" t="s">
        <v>1541</v>
      </c>
      <c r="B1360" s="149" t="s">
        <v>1542</v>
      </c>
    </row>
    <row r="1361" spans="1:2" x14ac:dyDescent="0.2">
      <c r="A1361" s="148" t="s">
        <v>1543</v>
      </c>
      <c r="B1361" s="149" t="s">
        <v>1544</v>
      </c>
    </row>
    <row r="1362" spans="1:2" x14ac:dyDescent="0.2">
      <c r="A1362" s="148" t="s">
        <v>1545</v>
      </c>
      <c r="B1362" s="149" t="s">
        <v>1546</v>
      </c>
    </row>
    <row r="1363" spans="1:2" x14ac:dyDescent="0.2">
      <c r="A1363" s="148" t="s">
        <v>1547</v>
      </c>
      <c r="B1363" s="149" t="s">
        <v>1548</v>
      </c>
    </row>
    <row r="1364" spans="1:2" x14ac:dyDescent="0.2">
      <c r="A1364" s="148" t="s">
        <v>1549</v>
      </c>
      <c r="B1364" s="149" t="s">
        <v>1550</v>
      </c>
    </row>
    <row r="1365" spans="1:2" x14ac:dyDescent="0.2">
      <c r="A1365" s="148" t="s">
        <v>1551</v>
      </c>
      <c r="B1365" s="149" t="s">
        <v>1552</v>
      </c>
    </row>
    <row r="1366" spans="1:2" x14ac:dyDescent="0.2">
      <c r="A1366" s="148" t="s">
        <v>1553</v>
      </c>
      <c r="B1366" s="149" t="s">
        <v>1554</v>
      </c>
    </row>
    <row r="1367" spans="1:2" x14ac:dyDescent="0.2">
      <c r="A1367" s="148" t="s">
        <v>1555</v>
      </c>
      <c r="B1367" s="149" t="s">
        <v>1556</v>
      </c>
    </row>
    <row r="1368" spans="1:2" x14ac:dyDescent="0.2">
      <c r="A1368" s="148" t="s">
        <v>1557</v>
      </c>
      <c r="B1368" s="149" t="s">
        <v>1558</v>
      </c>
    </row>
    <row r="1369" spans="1:2" x14ac:dyDescent="0.2">
      <c r="A1369" s="148" t="s">
        <v>1559</v>
      </c>
      <c r="B1369" s="149" t="s">
        <v>1560</v>
      </c>
    </row>
    <row r="1370" spans="1:2" x14ac:dyDescent="0.2">
      <c r="A1370" s="148" t="s">
        <v>1561</v>
      </c>
      <c r="B1370" s="149" t="s">
        <v>1562</v>
      </c>
    </row>
    <row r="1371" spans="1:2" x14ac:dyDescent="0.2">
      <c r="A1371" s="148" t="s">
        <v>1563</v>
      </c>
      <c r="B1371" s="149" t="s">
        <v>1564</v>
      </c>
    </row>
    <row r="1372" spans="1:2" x14ac:dyDescent="0.2">
      <c r="A1372" s="148" t="s">
        <v>1565</v>
      </c>
      <c r="B1372" s="149" t="s">
        <v>1566</v>
      </c>
    </row>
    <row r="1373" spans="1:2" x14ac:dyDescent="0.2">
      <c r="A1373" s="148" t="s">
        <v>1567</v>
      </c>
      <c r="B1373" s="149" t="s">
        <v>1568</v>
      </c>
    </row>
    <row r="1374" spans="1:2" x14ac:dyDescent="0.2">
      <c r="A1374" s="148" t="s">
        <v>1569</v>
      </c>
      <c r="B1374" s="149" t="s">
        <v>1570</v>
      </c>
    </row>
    <row r="1375" spans="1:2" x14ac:dyDescent="0.2">
      <c r="A1375" s="148" t="s">
        <v>1571</v>
      </c>
      <c r="B1375" s="149" t="s">
        <v>1572</v>
      </c>
    </row>
    <row r="1376" spans="1:2" x14ac:dyDescent="0.2">
      <c r="A1376" s="148" t="s">
        <v>1573</v>
      </c>
      <c r="B1376" s="149" t="s">
        <v>1574</v>
      </c>
    </row>
    <row r="1377" spans="1:2" x14ac:dyDescent="0.2">
      <c r="A1377" s="148" t="s">
        <v>1575</v>
      </c>
      <c r="B1377" s="149" t="s">
        <v>1576</v>
      </c>
    </row>
    <row r="1378" spans="1:2" x14ac:dyDescent="0.2">
      <c r="A1378" s="148" t="s">
        <v>1577</v>
      </c>
      <c r="B1378" s="149" t="s">
        <v>1578</v>
      </c>
    </row>
    <row r="1379" spans="1:2" x14ac:dyDescent="0.2">
      <c r="A1379" s="148" t="s">
        <v>1579</v>
      </c>
      <c r="B1379" s="149" t="s">
        <v>1580</v>
      </c>
    </row>
    <row r="1380" spans="1:2" x14ac:dyDescent="0.2">
      <c r="A1380" s="148" t="s">
        <v>1581</v>
      </c>
      <c r="B1380" s="149" t="s">
        <v>1582</v>
      </c>
    </row>
    <row r="1381" spans="1:2" x14ac:dyDescent="0.2">
      <c r="A1381" s="148" t="s">
        <v>1583</v>
      </c>
      <c r="B1381" s="149" t="s">
        <v>1584</v>
      </c>
    </row>
    <row r="1382" spans="1:2" x14ac:dyDescent="0.2">
      <c r="A1382" s="148" t="s">
        <v>1585</v>
      </c>
      <c r="B1382" s="149" t="s">
        <v>1586</v>
      </c>
    </row>
    <row r="1383" spans="1:2" x14ac:dyDescent="0.2">
      <c r="A1383" s="148" t="s">
        <v>1587</v>
      </c>
      <c r="B1383" s="149" t="s">
        <v>1588</v>
      </c>
    </row>
    <row r="1384" spans="1:2" x14ac:dyDescent="0.2">
      <c r="A1384" s="148" t="s">
        <v>1589</v>
      </c>
      <c r="B1384" s="149" t="s">
        <v>1590</v>
      </c>
    </row>
    <row r="1385" spans="1:2" x14ac:dyDescent="0.2">
      <c r="A1385" s="148" t="s">
        <v>1591</v>
      </c>
      <c r="B1385" s="149" t="s">
        <v>1592</v>
      </c>
    </row>
    <row r="1386" spans="1:2" x14ac:dyDescent="0.2">
      <c r="A1386" s="148" t="s">
        <v>1593</v>
      </c>
      <c r="B1386" s="149" t="s">
        <v>1594</v>
      </c>
    </row>
    <row r="1387" spans="1:2" x14ac:dyDescent="0.2">
      <c r="A1387" s="148" t="s">
        <v>1595</v>
      </c>
      <c r="B1387" s="149" t="s">
        <v>1596</v>
      </c>
    </row>
    <row r="1388" spans="1:2" x14ac:dyDescent="0.2">
      <c r="A1388" s="148" t="s">
        <v>1597</v>
      </c>
      <c r="B1388" s="149" t="s">
        <v>1598</v>
      </c>
    </row>
    <row r="1389" spans="1:2" x14ac:dyDescent="0.2">
      <c r="A1389" s="148" t="s">
        <v>1599</v>
      </c>
      <c r="B1389" s="149" t="s">
        <v>1600</v>
      </c>
    </row>
    <row r="1390" spans="1:2" x14ac:dyDescent="0.2">
      <c r="A1390" s="148" t="s">
        <v>1601</v>
      </c>
      <c r="B1390" s="149" t="s">
        <v>1602</v>
      </c>
    </row>
    <row r="1391" spans="1:2" x14ac:dyDescent="0.2">
      <c r="A1391" s="148" t="s">
        <v>1603</v>
      </c>
      <c r="B1391" s="149" t="s">
        <v>1604</v>
      </c>
    </row>
    <row r="1392" spans="1:2" x14ac:dyDescent="0.2">
      <c r="A1392" s="148" t="s">
        <v>1605</v>
      </c>
      <c r="B1392" s="149" t="s">
        <v>1606</v>
      </c>
    </row>
    <row r="1393" spans="1:2" x14ac:dyDescent="0.2">
      <c r="A1393" s="148" t="s">
        <v>1607</v>
      </c>
      <c r="B1393" s="149" t="s">
        <v>1608</v>
      </c>
    </row>
    <row r="1394" spans="1:2" x14ac:dyDescent="0.2">
      <c r="A1394" s="148" t="s">
        <v>1609</v>
      </c>
      <c r="B1394" s="149" t="s">
        <v>1610</v>
      </c>
    </row>
    <row r="1395" spans="1:2" x14ac:dyDescent="0.2">
      <c r="A1395" s="148" t="s">
        <v>1611</v>
      </c>
      <c r="B1395" s="149" t="s">
        <v>1612</v>
      </c>
    </row>
    <row r="1396" spans="1:2" x14ac:dyDescent="0.2">
      <c r="A1396" s="148" t="s">
        <v>1613</v>
      </c>
      <c r="B1396" s="149" t="s">
        <v>1614</v>
      </c>
    </row>
    <row r="1397" spans="1:2" x14ac:dyDescent="0.2">
      <c r="A1397" s="148" t="s">
        <v>1615</v>
      </c>
      <c r="B1397" s="149" t="s">
        <v>1616</v>
      </c>
    </row>
    <row r="1398" spans="1:2" x14ac:dyDescent="0.2">
      <c r="A1398" s="148" t="s">
        <v>1617</v>
      </c>
      <c r="B1398" s="149" t="s">
        <v>1618</v>
      </c>
    </row>
    <row r="1399" spans="1:2" x14ac:dyDescent="0.2">
      <c r="A1399" s="148" t="s">
        <v>1619</v>
      </c>
      <c r="B1399" s="149" t="s">
        <v>1620</v>
      </c>
    </row>
    <row r="1400" spans="1:2" x14ac:dyDescent="0.2">
      <c r="A1400" s="148" t="s">
        <v>1621</v>
      </c>
      <c r="B1400" s="149" t="s">
        <v>1622</v>
      </c>
    </row>
    <row r="1401" spans="1:2" x14ac:dyDescent="0.2">
      <c r="A1401" s="148" t="s">
        <v>1623</v>
      </c>
      <c r="B1401" s="149" t="s">
        <v>1624</v>
      </c>
    </row>
    <row r="1402" spans="1:2" x14ac:dyDescent="0.2">
      <c r="A1402" s="148" t="s">
        <v>1625</v>
      </c>
      <c r="B1402" s="149" t="s">
        <v>1626</v>
      </c>
    </row>
    <row r="1403" spans="1:2" x14ac:dyDescent="0.2">
      <c r="A1403" s="148" t="s">
        <v>1627</v>
      </c>
      <c r="B1403" s="149" t="s">
        <v>1628</v>
      </c>
    </row>
    <row r="1404" spans="1:2" x14ac:dyDescent="0.2">
      <c r="A1404" s="148" t="s">
        <v>1629</v>
      </c>
      <c r="B1404" s="149" t="s">
        <v>1630</v>
      </c>
    </row>
    <row r="1405" spans="1:2" x14ac:dyDescent="0.2">
      <c r="A1405" s="148" t="s">
        <v>1631</v>
      </c>
      <c r="B1405" s="149" t="s">
        <v>1632</v>
      </c>
    </row>
    <row r="1406" spans="1:2" x14ac:dyDescent="0.2">
      <c r="A1406" s="148" t="s">
        <v>1633</v>
      </c>
      <c r="B1406" s="149" t="s">
        <v>1634</v>
      </c>
    </row>
    <row r="1407" spans="1:2" x14ac:dyDescent="0.2">
      <c r="A1407" s="148" t="s">
        <v>1635</v>
      </c>
      <c r="B1407" s="149" t="s">
        <v>1636</v>
      </c>
    </row>
    <row r="1408" spans="1:2" x14ac:dyDescent="0.2">
      <c r="A1408" s="148" t="s">
        <v>1637</v>
      </c>
      <c r="B1408" s="149" t="s">
        <v>1638</v>
      </c>
    </row>
    <row r="1409" spans="1:2" x14ac:dyDescent="0.2">
      <c r="A1409" s="148" t="s">
        <v>1639</v>
      </c>
      <c r="B1409" s="149" t="s">
        <v>1640</v>
      </c>
    </row>
    <row r="1410" spans="1:2" x14ac:dyDescent="0.2">
      <c r="A1410" s="148" t="s">
        <v>1641</v>
      </c>
      <c r="B1410" s="149" t="s">
        <v>1642</v>
      </c>
    </row>
    <row r="1411" spans="1:2" x14ac:dyDescent="0.2">
      <c r="A1411" s="148" t="s">
        <v>1643</v>
      </c>
      <c r="B1411" s="149" t="s">
        <v>1644</v>
      </c>
    </row>
    <row r="1412" spans="1:2" x14ac:dyDescent="0.2">
      <c r="A1412" s="148" t="s">
        <v>1645</v>
      </c>
      <c r="B1412" s="149" t="s">
        <v>1646</v>
      </c>
    </row>
    <row r="1413" spans="1:2" x14ac:dyDescent="0.2">
      <c r="A1413" s="148" t="s">
        <v>1647</v>
      </c>
      <c r="B1413" s="149" t="s">
        <v>1648</v>
      </c>
    </row>
    <row r="1414" spans="1:2" x14ac:dyDescent="0.2">
      <c r="A1414" s="148" t="s">
        <v>1649</v>
      </c>
      <c r="B1414" s="149" t="s">
        <v>1650</v>
      </c>
    </row>
    <row r="1415" spans="1:2" x14ac:dyDescent="0.2">
      <c r="A1415" s="148" t="s">
        <v>1651</v>
      </c>
      <c r="B1415" s="149" t="s">
        <v>1652</v>
      </c>
    </row>
    <row r="1416" spans="1:2" x14ac:dyDescent="0.2">
      <c r="A1416" s="148" t="s">
        <v>1653</v>
      </c>
      <c r="B1416" s="149" t="s">
        <v>1654</v>
      </c>
    </row>
    <row r="1417" spans="1:2" x14ac:dyDescent="0.2">
      <c r="A1417" s="148" t="s">
        <v>1655</v>
      </c>
      <c r="B1417" s="149" t="s">
        <v>1656</v>
      </c>
    </row>
    <row r="1418" spans="1:2" x14ac:dyDescent="0.2">
      <c r="A1418" s="148" t="s">
        <v>1657</v>
      </c>
      <c r="B1418" s="149" t="s">
        <v>1658</v>
      </c>
    </row>
    <row r="1419" spans="1:2" x14ac:dyDescent="0.2">
      <c r="A1419" s="148" t="s">
        <v>1659</v>
      </c>
      <c r="B1419" s="149" t="s">
        <v>1658</v>
      </c>
    </row>
    <row r="1420" spans="1:2" x14ac:dyDescent="0.2">
      <c r="A1420" s="148" t="s">
        <v>1660</v>
      </c>
      <c r="B1420" s="149" t="s">
        <v>1661</v>
      </c>
    </row>
    <row r="1421" spans="1:2" x14ac:dyDescent="0.2">
      <c r="A1421" s="148" t="s">
        <v>1662</v>
      </c>
      <c r="B1421" s="149" t="s">
        <v>1663</v>
      </c>
    </row>
    <row r="1422" spans="1:2" x14ac:dyDescent="0.2">
      <c r="A1422" s="148" t="s">
        <v>1664</v>
      </c>
      <c r="B1422" s="149" t="s">
        <v>1665</v>
      </c>
    </row>
    <row r="1423" spans="1:2" x14ac:dyDescent="0.2">
      <c r="A1423" s="148" t="s">
        <v>1666</v>
      </c>
      <c r="B1423" s="149" t="s">
        <v>1667</v>
      </c>
    </row>
    <row r="1424" spans="1:2" x14ac:dyDescent="0.2">
      <c r="A1424" s="148" t="s">
        <v>1668</v>
      </c>
      <c r="B1424" s="149" t="s">
        <v>1669</v>
      </c>
    </row>
    <row r="1425" spans="1:2" x14ac:dyDescent="0.2">
      <c r="A1425" s="148" t="s">
        <v>1670</v>
      </c>
      <c r="B1425" s="149" t="s">
        <v>1671</v>
      </c>
    </row>
    <row r="1426" spans="1:2" x14ac:dyDescent="0.2">
      <c r="A1426" s="148" t="s">
        <v>1672</v>
      </c>
      <c r="B1426" s="149" t="s">
        <v>1673</v>
      </c>
    </row>
    <row r="1427" spans="1:2" x14ac:dyDescent="0.2">
      <c r="A1427" s="148" t="s">
        <v>1674</v>
      </c>
      <c r="B1427" s="149" t="s">
        <v>1675</v>
      </c>
    </row>
    <row r="1428" spans="1:2" x14ac:dyDescent="0.2">
      <c r="A1428" s="148" t="s">
        <v>1676</v>
      </c>
      <c r="B1428" s="149" t="s">
        <v>1677</v>
      </c>
    </row>
    <row r="1429" spans="1:2" x14ac:dyDescent="0.2">
      <c r="A1429" s="148" t="s">
        <v>1678</v>
      </c>
      <c r="B1429" s="149" t="s">
        <v>1679</v>
      </c>
    </row>
    <row r="1430" spans="1:2" x14ac:dyDescent="0.2">
      <c r="A1430" s="148" t="s">
        <v>1680</v>
      </c>
      <c r="B1430" s="149" t="s">
        <v>1681</v>
      </c>
    </row>
    <row r="1431" spans="1:2" x14ac:dyDescent="0.2">
      <c r="A1431" s="148" t="s">
        <v>1682</v>
      </c>
      <c r="B1431" s="149" t="s">
        <v>1683</v>
      </c>
    </row>
    <row r="1432" spans="1:2" x14ac:dyDescent="0.2">
      <c r="A1432" s="148" t="s">
        <v>1684</v>
      </c>
      <c r="B1432" s="149" t="s">
        <v>1685</v>
      </c>
    </row>
    <row r="1433" spans="1:2" x14ac:dyDescent="0.2">
      <c r="A1433" s="148" t="s">
        <v>1686</v>
      </c>
      <c r="B1433" s="149" t="s">
        <v>1687</v>
      </c>
    </row>
    <row r="1434" spans="1:2" x14ac:dyDescent="0.2">
      <c r="A1434" s="148" t="s">
        <v>1688</v>
      </c>
      <c r="B1434" s="149" t="s">
        <v>1689</v>
      </c>
    </row>
    <row r="1435" spans="1:2" x14ac:dyDescent="0.2">
      <c r="A1435" s="148" t="s">
        <v>1690</v>
      </c>
      <c r="B1435" s="149" t="s">
        <v>1689</v>
      </c>
    </row>
    <row r="1436" spans="1:2" x14ac:dyDescent="0.2">
      <c r="A1436" s="148" t="s">
        <v>1691</v>
      </c>
      <c r="B1436" s="149" t="s">
        <v>1692</v>
      </c>
    </row>
    <row r="1437" spans="1:2" x14ac:dyDescent="0.2">
      <c r="A1437" s="148" t="s">
        <v>1693</v>
      </c>
      <c r="B1437" s="149" t="s">
        <v>1692</v>
      </c>
    </row>
    <row r="1438" spans="1:2" x14ac:dyDescent="0.2">
      <c r="A1438" s="148" t="s">
        <v>1694</v>
      </c>
      <c r="B1438" s="149" t="s">
        <v>1695</v>
      </c>
    </row>
    <row r="1439" spans="1:2" x14ac:dyDescent="0.2">
      <c r="A1439" s="148" t="s">
        <v>1696</v>
      </c>
      <c r="B1439" s="149" t="s">
        <v>1695</v>
      </c>
    </row>
    <row r="1440" spans="1:2" x14ac:dyDescent="0.2">
      <c r="A1440" s="148" t="s">
        <v>1697</v>
      </c>
      <c r="B1440" s="149" t="s">
        <v>1698</v>
      </c>
    </row>
    <row r="1441" spans="1:2" x14ac:dyDescent="0.2">
      <c r="A1441" s="148" t="s">
        <v>1699</v>
      </c>
      <c r="B1441" s="149" t="s">
        <v>1700</v>
      </c>
    </row>
    <row r="1442" spans="1:2" x14ac:dyDescent="0.2">
      <c r="A1442" s="148" t="s">
        <v>1701</v>
      </c>
      <c r="B1442" s="149" t="s">
        <v>1700</v>
      </c>
    </row>
    <row r="1443" spans="1:2" x14ac:dyDescent="0.2">
      <c r="A1443" s="148" t="s">
        <v>1702</v>
      </c>
      <c r="B1443" s="149" t="s">
        <v>1703</v>
      </c>
    </row>
    <row r="1444" spans="1:2" x14ac:dyDescent="0.2">
      <c r="A1444" s="148" t="s">
        <v>1704</v>
      </c>
      <c r="B1444" s="149" t="s">
        <v>1705</v>
      </c>
    </row>
    <row r="1445" spans="1:2" x14ac:dyDescent="0.2">
      <c r="A1445" s="148" t="s">
        <v>1706</v>
      </c>
      <c r="B1445" s="149" t="s">
        <v>1707</v>
      </c>
    </row>
    <row r="1446" spans="1:2" x14ac:dyDescent="0.2">
      <c r="A1446" s="148" t="s">
        <v>1708</v>
      </c>
      <c r="B1446" s="149" t="s">
        <v>1707</v>
      </c>
    </row>
    <row r="1447" spans="1:2" x14ac:dyDescent="0.2">
      <c r="A1447" s="148" t="s">
        <v>1709</v>
      </c>
      <c r="B1447" s="149" t="s">
        <v>1710</v>
      </c>
    </row>
    <row r="1448" spans="1:2" x14ac:dyDescent="0.2">
      <c r="A1448" s="148" t="s">
        <v>1711</v>
      </c>
      <c r="B1448" s="149" t="s">
        <v>1710</v>
      </c>
    </row>
    <row r="1449" spans="1:2" x14ac:dyDescent="0.2">
      <c r="A1449" s="148" t="s">
        <v>1712</v>
      </c>
      <c r="B1449" s="149" t="s">
        <v>1713</v>
      </c>
    </row>
    <row r="1450" spans="1:2" x14ac:dyDescent="0.2">
      <c r="A1450" s="148" t="s">
        <v>1714</v>
      </c>
      <c r="B1450" s="149" t="s">
        <v>1715</v>
      </c>
    </row>
    <row r="1451" spans="1:2" x14ac:dyDescent="0.2">
      <c r="A1451" s="148" t="s">
        <v>1716</v>
      </c>
      <c r="B1451" s="149" t="s">
        <v>1717</v>
      </c>
    </row>
    <row r="1452" spans="1:2" x14ac:dyDescent="0.2">
      <c r="A1452" s="148" t="s">
        <v>1718</v>
      </c>
      <c r="B1452" s="149" t="s">
        <v>1719</v>
      </c>
    </row>
    <row r="1453" spans="1:2" x14ac:dyDescent="0.2">
      <c r="A1453" s="148" t="s">
        <v>1720</v>
      </c>
      <c r="B1453" s="149" t="s">
        <v>1721</v>
      </c>
    </row>
    <row r="1454" spans="1:2" x14ac:dyDescent="0.2">
      <c r="A1454" s="148" t="s">
        <v>1722</v>
      </c>
      <c r="B1454" s="149" t="s">
        <v>1723</v>
      </c>
    </row>
    <row r="1455" spans="1:2" x14ac:dyDescent="0.2">
      <c r="A1455" s="148" t="s">
        <v>1724</v>
      </c>
      <c r="B1455" s="149" t="s">
        <v>1725</v>
      </c>
    </row>
    <row r="1456" spans="1:2" x14ac:dyDescent="0.2">
      <c r="A1456" s="148" t="s">
        <v>1726</v>
      </c>
      <c r="B1456" s="149" t="s">
        <v>1727</v>
      </c>
    </row>
    <row r="1457" spans="1:2" x14ac:dyDescent="0.2">
      <c r="A1457" s="148" t="s">
        <v>1728</v>
      </c>
      <c r="B1457" s="149" t="s">
        <v>1729</v>
      </c>
    </row>
    <row r="1458" spans="1:2" x14ac:dyDescent="0.2">
      <c r="A1458" s="148" t="s">
        <v>1730</v>
      </c>
      <c r="B1458" s="149" t="s">
        <v>1731</v>
      </c>
    </row>
    <row r="1459" spans="1:2" x14ac:dyDescent="0.2">
      <c r="A1459" s="148" t="s">
        <v>1732</v>
      </c>
      <c r="B1459" s="149" t="s">
        <v>1733</v>
      </c>
    </row>
    <row r="1460" spans="1:2" x14ac:dyDescent="0.2">
      <c r="A1460" s="148" t="s">
        <v>1734</v>
      </c>
      <c r="B1460" s="149" t="s">
        <v>1735</v>
      </c>
    </row>
    <row r="1461" spans="1:2" x14ac:dyDescent="0.2">
      <c r="A1461" s="148" t="s">
        <v>1736</v>
      </c>
      <c r="B1461" s="149" t="s">
        <v>1737</v>
      </c>
    </row>
    <row r="1462" spans="1:2" x14ac:dyDescent="0.2">
      <c r="A1462" s="148" t="s">
        <v>1738</v>
      </c>
      <c r="B1462" s="149" t="s">
        <v>1739</v>
      </c>
    </row>
    <row r="1463" spans="1:2" x14ac:dyDescent="0.2">
      <c r="A1463" s="148" t="s">
        <v>1740</v>
      </c>
      <c r="B1463" s="149" t="s">
        <v>1741</v>
      </c>
    </row>
    <row r="1464" spans="1:2" x14ac:dyDescent="0.2">
      <c r="A1464" s="148" t="s">
        <v>1742</v>
      </c>
      <c r="B1464" s="149" t="s">
        <v>1743</v>
      </c>
    </row>
    <row r="1465" spans="1:2" x14ac:dyDescent="0.2">
      <c r="A1465" s="148" t="s">
        <v>1744</v>
      </c>
      <c r="B1465" s="149" t="s">
        <v>1745</v>
      </c>
    </row>
    <row r="1466" spans="1:2" x14ac:dyDescent="0.2">
      <c r="A1466" s="148" t="s">
        <v>1746</v>
      </c>
      <c r="B1466" s="149" t="s">
        <v>1747</v>
      </c>
    </row>
    <row r="1467" spans="1:2" x14ac:dyDescent="0.2">
      <c r="A1467" s="148" t="s">
        <v>1748</v>
      </c>
      <c r="B1467" s="149" t="s">
        <v>1749</v>
      </c>
    </row>
    <row r="1468" spans="1:2" x14ac:dyDescent="0.2">
      <c r="A1468" s="148" t="s">
        <v>1750</v>
      </c>
      <c r="B1468" s="149" t="s">
        <v>1751</v>
      </c>
    </row>
    <row r="1469" spans="1:2" x14ac:dyDescent="0.2">
      <c r="A1469" s="148" t="s">
        <v>1752</v>
      </c>
      <c r="B1469" s="149" t="s">
        <v>1753</v>
      </c>
    </row>
    <row r="1470" spans="1:2" x14ac:dyDescent="0.2">
      <c r="A1470" s="148" t="s">
        <v>1754</v>
      </c>
      <c r="B1470" s="149" t="s">
        <v>1755</v>
      </c>
    </row>
    <row r="1471" spans="1:2" x14ac:dyDescent="0.2">
      <c r="A1471" s="148" t="s">
        <v>1756</v>
      </c>
      <c r="B1471" s="149" t="s">
        <v>1757</v>
      </c>
    </row>
    <row r="1472" spans="1:2" x14ac:dyDescent="0.2">
      <c r="A1472" s="148" t="s">
        <v>1758</v>
      </c>
      <c r="B1472" s="149" t="s">
        <v>1759</v>
      </c>
    </row>
    <row r="1473" spans="1:2" x14ac:dyDescent="0.2">
      <c r="A1473" s="148" t="s">
        <v>1760</v>
      </c>
      <c r="B1473" s="149" t="s">
        <v>1761</v>
      </c>
    </row>
    <row r="1474" spans="1:2" x14ac:dyDescent="0.2">
      <c r="A1474" s="148" t="s">
        <v>1762</v>
      </c>
      <c r="B1474" s="149" t="s">
        <v>1763</v>
      </c>
    </row>
    <row r="1475" spans="1:2" x14ac:dyDescent="0.2">
      <c r="A1475" s="148" t="s">
        <v>1764</v>
      </c>
      <c r="B1475" s="149" t="s">
        <v>1765</v>
      </c>
    </row>
    <row r="1476" spans="1:2" x14ac:dyDescent="0.2">
      <c r="A1476" s="148" t="s">
        <v>1766</v>
      </c>
      <c r="B1476" s="149" t="s">
        <v>1767</v>
      </c>
    </row>
    <row r="1477" spans="1:2" x14ac:dyDescent="0.2">
      <c r="A1477" s="148" t="s">
        <v>1768</v>
      </c>
      <c r="B1477" s="149" t="s">
        <v>1769</v>
      </c>
    </row>
    <row r="1478" spans="1:2" x14ac:dyDescent="0.2">
      <c r="A1478" s="148" t="s">
        <v>1770</v>
      </c>
      <c r="B1478" s="149" t="s">
        <v>1771</v>
      </c>
    </row>
    <row r="1479" spans="1:2" x14ac:dyDescent="0.2">
      <c r="A1479" s="148" t="s">
        <v>1772</v>
      </c>
      <c r="B1479" s="149" t="s">
        <v>1773</v>
      </c>
    </row>
    <row r="1480" spans="1:2" x14ac:dyDescent="0.2">
      <c r="A1480" s="148" t="s">
        <v>1774</v>
      </c>
      <c r="B1480" s="149" t="s">
        <v>1775</v>
      </c>
    </row>
    <row r="1481" spans="1:2" x14ac:dyDescent="0.2">
      <c r="A1481" s="148" t="s">
        <v>1776</v>
      </c>
      <c r="B1481" s="149" t="s">
        <v>1777</v>
      </c>
    </row>
    <row r="1482" spans="1:2" x14ac:dyDescent="0.2">
      <c r="A1482" s="148" t="s">
        <v>1778</v>
      </c>
      <c r="B1482" s="149" t="s">
        <v>1779</v>
      </c>
    </row>
    <row r="1483" spans="1:2" x14ac:dyDescent="0.2">
      <c r="A1483" s="148" t="s">
        <v>1780</v>
      </c>
      <c r="B1483" s="149" t="s">
        <v>1781</v>
      </c>
    </row>
    <row r="1484" spans="1:2" x14ac:dyDescent="0.2">
      <c r="A1484" s="148" t="s">
        <v>1782</v>
      </c>
      <c r="B1484" s="149" t="s">
        <v>1783</v>
      </c>
    </row>
    <row r="1485" spans="1:2" x14ac:dyDescent="0.2">
      <c r="A1485" s="148" t="s">
        <v>1784</v>
      </c>
      <c r="B1485" s="149" t="s">
        <v>1785</v>
      </c>
    </row>
    <row r="1486" spans="1:2" x14ac:dyDescent="0.2">
      <c r="A1486" s="148" t="s">
        <v>1786</v>
      </c>
      <c r="B1486" s="149" t="s">
        <v>1787</v>
      </c>
    </row>
    <row r="1487" spans="1:2" x14ac:dyDescent="0.2">
      <c r="A1487" s="148" t="s">
        <v>1788</v>
      </c>
      <c r="B1487" s="149" t="s">
        <v>1789</v>
      </c>
    </row>
    <row r="1488" spans="1:2" x14ac:dyDescent="0.2">
      <c r="A1488" s="148" t="s">
        <v>1790</v>
      </c>
      <c r="B1488" s="149" t="s">
        <v>1791</v>
      </c>
    </row>
    <row r="1489" spans="1:2" x14ac:dyDescent="0.2">
      <c r="A1489" s="148" t="s">
        <v>1792</v>
      </c>
      <c r="B1489" s="149" t="s">
        <v>1793</v>
      </c>
    </row>
    <row r="1490" spans="1:2" x14ac:dyDescent="0.2">
      <c r="A1490" s="148" t="s">
        <v>1794</v>
      </c>
      <c r="B1490" s="149" t="s">
        <v>1795</v>
      </c>
    </row>
    <row r="1491" spans="1:2" x14ac:dyDescent="0.2">
      <c r="A1491" s="148" t="s">
        <v>1796</v>
      </c>
      <c r="B1491" s="149" t="s">
        <v>1797</v>
      </c>
    </row>
    <row r="1492" spans="1:2" x14ac:dyDescent="0.2">
      <c r="A1492" s="148" t="s">
        <v>1798</v>
      </c>
      <c r="B1492" s="149" t="s">
        <v>1799</v>
      </c>
    </row>
    <row r="1493" spans="1:2" x14ac:dyDescent="0.2">
      <c r="A1493" s="148" t="s">
        <v>431</v>
      </c>
      <c r="B1493" s="149" t="s">
        <v>1800</v>
      </c>
    </row>
    <row r="1494" spans="1:2" x14ac:dyDescent="0.2">
      <c r="A1494" s="148" t="s">
        <v>1801</v>
      </c>
      <c r="B1494" s="149" t="s">
        <v>1802</v>
      </c>
    </row>
    <row r="1495" spans="1:2" x14ac:dyDescent="0.2">
      <c r="A1495" s="148" t="s">
        <v>1803</v>
      </c>
      <c r="B1495" s="149" t="s">
        <v>1804</v>
      </c>
    </row>
    <row r="1496" spans="1:2" x14ac:dyDescent="0.2">
      <c r="A1496" s="148" t="s">
        <v>1805</v>
      </c>
      <c r="B1496" s="149" t="s">
        <v>1806</v>
      </c>
    </row>
    <row r="1497" spans="1:2" x14ac:dyDescent="0.2">
      <c r="A1497" s="148" t="s">
        <v>1807</v>
      </c>
      <c r="B1497" s="149" t="s">
        <v>1808</v>
      </c>
    </row>
    <row r="1498" spans="1:2" x14ac:dyDescent="0.2">
      <c r="A1498" s="148" t="s">
        <v>1809</v>
      </c>
      <c r="B1498" s="149" t="s">
        <v>1810</v>
      </c>
    </row>
    <row r="1499" spans="1:2" x14ac:dyDescent="0.2">
      <c r="A1499" s="148" t="s">
        <v>1811</v>
      </c>
      <c r="B1499" s="149" t="s">
        <v>1812</v>
      </c>
    </row>
    <row r="1500" spans="1:2" x14ac:dyDescent="0.2">
      <c r="A1500" s="148" t="s">
        <v>1813</v>
      </c>
      <c r="B1500" s="149" t="s">
        <v>1814</v>
      </c>
    </row>
    <row r="1501" spans="1:2" x14ac:dyDescent="0.2">
      <c r="A1501" s="148" t="s">
        <v>1815</v>
      </c>
      <c r="B1501" s="149" t="s">
        <v>1816</v>
      </c>
    </row>
    <row r="1502" spans="1:2" x14ac:dyDescent="0.2">
      <c r="A1502" s="148" t="s">
        <v>436</v>
      </c>
      <c r="B1502" s="149" t="s">
        <v>1817</v>
      </c>
    </row>
    <row r="1503" spans="1:2" x14ac:dyDescent="0.2">
      <c r="A1503" s="148" t="s">
        <v>1818</v>
      </c>
      <c r="B1503" s="149" t="s">
        <v>1819</v>
      </c>
    </row>
    <row r="1504" spans="1:2" x14ac:dyDescent="0.2">
      <c r="A1504" s="148" t="s">
        <v>1820</v>
      </c>
      <c r="B1504" s="149" t="s">
        <v>1821</v>
      </c>
    </row>
    <row r="1505" spans="1:2" x14ac:dyDescent="0.2">
      <c r="A1505" s="148" t="s">
        <v>1822</v>
      </c>
      <c r="B1505" s="149" t="s">
        <v>1821</v>
      </c>
    </row>
  </sheetData>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3A2C3-5B08-4B4A-9025-CEDDEF3E9711}">
  <sheetPr codeName="Sheet8"/>
  <dimension ref="A1:D142"/>
  <sheetViews>
    <sheetView zoomScale="80" zoomScaleNormal="80" workbookViewId="0">
      <selection activeCell="A12" sqref="A12"/>
    </sheetView>
  </sheetViews>
  <sheetFormatPr defaultRowHeight="15" x14ac:dyDescent="0.25"/>
  <cols>
    <col min="1" max="1" width="67.140625" style="154" bestFit="1" customWidth="1"/>
    <col min="2" max="2" width="23.7109375" style="155" bestFit="1" customWidth="1"/>
    <col min="3" max="3" width="26.28515625" style="155" bestFit="1" customWidth="1"/>
    <col min="4" max="4" width="52.42578125" style="153" bestFit="1" customWidth="1"/>
  </cols>
  <sheetData>
    <row r="1" spans="1:4" ht="16.5" thickBot="1" x14ac:dyDescent="0.3">
      <c r="A1" s="146" t="s">
        <v>1823</v>
      </c>
      <c r="B1" s="150" t="s">
        <v>1824</v>
      </c>
      <c r="C1" s="150" t="s">
        <v>265</v>
      </c>
      <c r="D1" s="147" t="s">
        <v>1825</v>
      </c>
    </row>
    <row r="2" spans="1:4" ht="15.75" x14ac:dyDescent="0.25">
      <c r="A2" s="148" t="s">
        <v>1826</v>
      </c>
      <c r="B2" s="151" t="s">
        <v>1827</v>
      </c>
      <c r="C2" s="141" t="s">
        <v>1828</v>
      </c>
      <c r="D2" s="149"/>
    </row>
    <row r="3" spans="1:4" ht="15.75" x14ac:dyDescent="0.25">
      <c r="A3" s="148" t="s">
        <v>1829</v>
      </c>
      <c r="B3" s="151" t="s">
        <v>1830</v>
      </c>
      <c r="C3" s="141" t="s">
        <v>1831</v>
      </c>
      <c r="D3" s="149"/>
    </row>
    <row r="4" spans="1:4" ht="15.75" x14ac:dyDescent="0.25">
      <c r="A4" s="148" t="s">
        <v>1832</v>
      </c>
      <c r="B4" s="151" t="s">
        <v>1833</v>
      </c>
      <c r="C4" s="141" t="s">
        <v>1828</v>
      </c>
      <c r="D4" s="149"/>
    </row>
    <row r="5" spans="1:4" ht="15.75" x14ac:dyDescent="0.25">
      <c r="A5" s="148" t="s">
        <v>1834</v>
      </c>
      <c r="B5" s="152" t="s">
        <v>1835</v>
      </c>
      <c r="C5" s="141" t="s">
        <v>1828</v>
      </c>
      <c r="D5" s="149"/>
    </row>
    <row r="6" spans="1:4" ht="15.75" x14ac:dyDescent="0.25">
      <c r="A6" s="148" t="s">
        <v>1836</v>
      </c>
      <c r="B6" s="152" t="s">
        <v>1837</v>
      </c>
      <c r="C6" s="141" t="s">
        <v>1831</v>
      </c>
      <c r="D6" s="149"/>
    </row>
    <row r="7" spans="1:4" ht="15.75" x14ac:dyDescent="0.25">
      <c r="A7" s="148" t="s">
        <v>1838</v>
      </c>
      <c r="B7" s="152" t="s">
        <v>1839</v>
      </c>
      <c r="C7" s="141" t="s">
        <v>1828</v>
      </c>
      <c r="D7" s="149"/>
    </row>
    <row r="8" spans="1:4" ht="15.75" x14ac:dyDescent="0.25">
      <c r="A8" s="148" t="s">
        <v>1838</v>
      </c>
      <c r="B8" s="152" t="s">
        <v>1840</v>
      </c>
      <c r="C8" s="141" t="s">
        <v>1828</v>
      </c>
      <c r="D8" s="149"/>
    </row>
    <row r="9" spans="1:4" ht="15.75" x14ac:dyDescent="0.25">
      <c r="A9" s="148" t="s">
        <v>1841</v>
      </c>
      <c r="B9" s="152" t="s">
        <v>1842</v>
      </c>
      <c r="C9" s="141" t="s">
        <v>1831</v>
      </c>
      <c r="D9" s="149"/>
    </row>
    <row r="10" spans="1:4" ht="15.75" x14ac:dyDescent="0.25">
      <c r="A10" s="148" t="s">
        <v>1836</v>
      </c>
      <c r="B10" s="152" t="s">
        <v>1843</v>
      </c>
      <c r="C10" s="141" t="s">
        <v>1831</v>
      </c>
      <c r="D10" s="149"/>
    </row>
    <row r="11" spans="1:4" ht="15.75" x14ac:dyDescent="0.25">
      <c r="A11" s="148" t="s">
        <v>1836</v>
      </c>
      <c r="B11" s="152" t="s">
        <v>1844</v>
      </c>
      <c r="C11" s="141" t="s">
        <v>1831</v>
      </c>
      <c r="D11" s="149"/>
    </row>
    <row r="12" spans="1:4" ht="15.75" x14ac:dyDescent="0.25">
      <c r="A12" s="148" t="s">
        <v>1845</v>
      </c>
      <c r="B12" s="152" t="s">
        <v>1846</v>
      </c>
      <c r="C12" s="141" t="s">
        <v>1831</v>
      </c>
      <c r="D12" s="149"/>
    </row>
    <row r="13" spans="1:4" ht="15.75" x14ac:dyDescent="0.25">
      <c r="A13" s="148" t="s">
        <v>1847</v>
      </c>
      <c r="B13" s="152" t="s">
        <v>1848</v>
      </c>
      <c r="C13" s="141" t="s">
        <v>1831</v>
      </c>
      <c r="D13" s="149"/>
    </row>
    <row r="14" spans="1:4" ht="15.75" x14ac:dyDescent="0.25">
      <c r="A14" s="148" t="s">
        <v>1849</v>
      </c>
      <c r="B14" s="152" t="s">
        <v>1850</v>
      </c>
      <c r="C14" s="141" t="s">
        <v>1831</v>
      </c>
      <c r="D14" s="149"/>
    </row>
    <row r="15" spans="1:4" ht="15.75" x14ac:dyDescent="0.25">
      <c r="A15" s="148" t="s">
        <v>1851</v>
      </c>
      <c r="B15" s="152" t="s">
        <v>1852</v>
      </c>
      <c r="C15" s="141" t="s">
        <v>1853</v>
      </c>
      <c r="D15" s="149"/>
    </row>
    <row r="16" spans="1:4" ht="15.75" x14ac:dyDescent="0.25">
      <c r="A16" s="148" t="s">
        <v>1854</v>
      </c>
      <c r="B16" s="152" t="s">
        <v>314</v>
      </c>
      <c r="C16" s="141" t="s">
        <v>1855</v>
      </c>
      <c r="D16" s="149"/>
    </row>
    <row r="17" spans="1:4" ht="15.75" x14ac:dyDescent="0.25">
      <c r="A17" s="148" t="s">
        <v>1856</v>
      </c>
      <c r="B17" s="152" t="s">
        <v>1857</v>
      </c>
      <c r="C17" s="141" t="s">
        <v>1828</v>
      </c>
      <c r="D17" s="149"/>
    </row>
    <row r="18" spans="1:4" ht="15.75" x14ac:dyDescent="0.25">
      <c r="A18" s="148" t="s">
        <v>1858</v>
      </c>
      <c r="B18" s="152" t="s">
        <v>1859</v>
      </c>
      <c r="C18" s="141" t="s">
        <v>1828</v>
      </c>
      <c r="D18" s="149"/>
    </row>
    <row r="19" spans="1:4" ht="15.75" x14ac:dyDescent="0.25">
      <c r="A19" s="148" t="s">
        <v>1838</v>
      </c>
      <c r="B19" s="152" t="s">
        <v>1859</v>
      </c>
      <c r="C19" s="141" t="s">
        <v>1828</v>
      </c>
      <c r="D19" s="149"/>
    </row>
    <row r="20" spans="1:4" ht="15.75" x14ac:dyDescent="0.25">
      <c r="A20" s="148" t="s">
        <v>1860</v>
      </c>
      <c r="B20" s="152" t="s">
        <v>1859</v>
      </c>
      <c r="C20" s="141" t="s">
        <v>1828</v>
      </c>
      <c r="D20" s="149"/>
    </row>
    <row r="21" spans="1:4" ht="15.75" x14ac:dyDescent="0.25">
      <c r="A21" s="148" t="s">
        <v>1861</v>
      </c>
      <c r="B21" s="152" t="s">
        <v>1862</v>
      </c>
      <c r="C21" s="141" t="s">
        <v>1855</v>
      </c>
      <c r="D21" s="149"/>
    </row>
    <row r="22" spans="1:4" ht="15.75" x14ac:dyDescent="0.25">
      <c r="A22" s="148" t="s">
        <v>1854</v>
      </c>
      <c r="B22" s="152" t="s">
        <v>1863</v>
      </c>
      <c r="C22" s="141" t="s">
        <v>1855</v>
      </c>
      <c r="D22" s="149"/>
    </row>
    <row r="23" spans="1:4" ht="15.75" x14ac:dyDescent="0.25">
      <c r="A23" s="148" t="s">
        <v>1854</v>
      </c>
      <c r="B23" s="152" t="s">
        <v>1864</v>
      </c>
      <c r="C23" s="141" t="s">
        <v>1855</v>
      </c>
      <c r="D23" s="149"/>
    </row>
    <row r="24" spans="1:4" ht="15.75" x14ac:dyDescent="0.25">
      <c r="A24" s="148" t="s">
        <v>1865</v>
      </c>
      <c r="B24" s="152" t="s">
        <v>1866</v>
      </c>
      <c r="C24" s="141" t="s">
        <v>270</v>
      </c>
      <c r="D24" s="149"/>
    </row>
    <row r="25" spans="1:4" ht="15.75" x14ac:dyDescent="0.25">
      <c r="A25" s="148" t="s">
        <v>1854</v>
      </c>
      <c r="B25" s="152" t="s">
        <v>1867</v>
      </c>
      <c r="C25" s="141" t="s">
        <v>1855</v>
      </c>
      <c r="D25" s="149"/>
    </row>
    <row r="26" spans="1:4" ht="15.75" x14ac:dyDescent="0.25">
      <c r="A26" s="148" t="s">
        <v>1854</v>
      </c>
      <c r="B26" s="152" t="s">
        <v>1868</v>
      </c>
      <c r="C26" s="141" t="s">
        <v>1855</v>
      </c>
      <c r="D26" s="149"/>
    </row>
    <row r="27" spans="1:4" ht="15.75" x14ac:dyDescent="0.25">
      <c r="A27" s="148" t="s">
        <v>1854</v>
      </c>
      <c r="B27" s="152" t="s">
        <v>1869</v>
      </c>
      <c r="C27" s="141" t="s">
        <v>1855</v>
      </c>
      <c r="D27" s="149"/>
    </row>
    <row r="28" spans="1:4" ht="15.75" x14ac:dyDescent="0.25">
      <c r="A28" s="148" t="s">
        <v>1870</v>
      </c>
      <c r="B28" s="152" t="s">
        <v>1871</v>
      </c>
      <c r="C28" s="141" t="s">
        <v>1831</v>
      </c>
      <c r="D28" s="149"/>
    </row>
    <row r="29" spans="1:4" ht="15.75" x14ac:dyDescent="0.25">
      <c r="A29" s="148" t="s">
        <v>1872</v>
      </c>
      <c r="B29" s="152" t="s">
        <v>1873</v>
      </c>
      <c r="C29" s="141" t="s">
        <v>1831</v>
      </c>
      <c r="D29" s="149"/>
    </row>
    <row r="30" spans="1:4" ht="15.75" x14ac:dyDescent="0.25">
      <c r="A30" s="148" t="s">
        <v>1874</v>
      </c>
      <c r="B30" s="152" t="s">
        <v>1875</v>
      </c>
      <c r="C30" s="141" t="s">
        <v>1831</v>
      </c>
      <c r="D30" s="149"/>
    </row>
    <row r="31" spans="1:4" ht="15.75" x14ac:dyDescent="0.25">
      <c r="A31" s="148" t="s">
        <v>1876</v>
      </c>
      <c r="B31" s="152" t="s">
        <v>1877</v>
      </c>
      <c r="C31" s="141" t="s">
        <v>1831</v>
      </c>
      <c r="D31" s="149"/>
    </row>
    <row r="32" spans="1:4" ht="15.75" x14ac:dyDescent="0.25">
      <c r="A32" s="148" t="s">
        <v>1878</v>
      </c>
      <c r="B32" s="152" t="s">
        <v>1879</v>
      </c>
      <c r="C32" s="141" t="s">
        <v>270</v>
      </c>
      <c r="D32" s="149"/>
    </row>
    <row r="33" spans="1:4" ht="15.75" x14ac:dyDescent="0.25">
      <c r="A33" s="148" t="s">
        <v>1880</v>
      </c>
      <c r="B33" s="152" t="s">
        <v>1881</v>
      </c>
      <c r="C33" s="141" t="s">
        <v>1828</v>
      </c>
      <c r="D33" s="149"/>
    </row>
    <row r="34" spans="1:4" ht="15.75" x14ac:dyDescent="0.25">
      <c r="A34" s="148" t="s">
        <v>1878</v>
      </c>
      <c r="B34" s="152" t="s">
        <v>1882</v>
      </c>
      <c r="C34" s="141" t="s">
        <v>270</v>
      </c>
      <c r="D34" s="149"/>
    </row>
    <row r="35" spans="1:4" ht="15.75" x14ac:dyDescent="0.25">
      <c r="A35" s="148" t="s">
        <v>1878</v>
      </c>
      <c r="B35" s="152" t="s">
        <v>1883</v>
      </c>
      <c r="C35" s="141" t="s">
        <v>270</v>
      </c>
      <c r="D35" s="149"/>
    </row>
    <row r="36" spans="1:4" ht="15.75" x14ac:dyDescent="0.25">
      <c r="A36" s="148" t="s">
        <v>1884</v>
      </c>
      <c r="B36" s="152" t="s">
        <v>1885</v>
      </c>
      <c r="C36" s="141" t="s">
        <v>1828</v>
      </c>
      <c r="D36" s="149"/>
    </row>
    <row r="37" spans="1:4" ht="15.75" x14ac:dyDescent="0.25">
      <c r="A37" s="148" t="s">
        <v>1878</v>
      </c>
      <c r="B37" s="152" t="s">
        <v>1886</v>
      </c>
      <c r="C37" s="141" t="s">
        <v>270</v>
      </c>
      <c r="D37" s="149"/>
    </row>
    <row r="38" spans="1:4" ht="15.75" x14ac:dyDescent="0.25">
      <c r="A38" s="148" t="s">
        <v>1878</v>
      </c>
      <c r="B38" s="152" t="s">
        <v>1887</v>
      </c>
      <c r="C38" s="141" t="s">
        <v>270</v>
      </c>
      <c r="D38" s="149"/>
    </row>
    <row r="39" spans="1:4" ht="15.75" x14ac:dyDescent="0.25">
      <c r="A39" s="148" t="s">
        <v>1858</v>
      </c>
      <c r="B39" s="152" t="s">
        <v>1888</v>
      </c>
      <c r="C39" s="141" t="s">
        <v>1828</v>
      </c>
      <c r="D39" s="149"/>
    </row>
    <row r="40" spans="1:4" ht="15.75" x14ac:dyDescent="0.25">
      <c r="A40" s="148" t="s">
        <v>1838</v>
      </c>
      <c r="B40" s="152" t="s">
        <v>1888</v>
      </c>
      <c r="C40" s="141" t="s">
        <v>1828</v>
      </c>
      <c r="D40" s="149"/>
    </row>
    <row r="41" spans="1:4" ht="15.75" x14ac:dyDescent="0.25">
      <c r="A41" s="148" t="s">
        <v>1860</v>
      </c>
      <c r="B41" s="152" t="s">
        <v>1888</v>
      </c>
      <c r="C41" s="141" t="s">
        <v>1828</v>
      </c>
      <c r="D41" s="149"/>
    </row>
    <row r="42" spans="1:4" ht="15.75" x14ac:dyDescent="0.25">
      <c r="A42" s="148" t="s">
        <v>1889</v>
      </c>
      <c r="B42" s="152" t="s">
        <v>1890</v>
      </c>
      <c r="C42" s="141" t="s">
        <v>1828</v>
      </c>
      <c r="D42" s="149"/>
    </row>
    <row r="43" spans="1:4" ht="15.75" x14ac:dyDescent="0.25">
      <c r="A43" s="148" t="s">
        <v>1891</v>
      </c>
      <c r="B43" s="152" t="s">
        <v>1890</v>
      </c>
      <c r="C43" s="141" t="s">
        <v>1828</v>
      </c>
      <c r="D43" s="149"/>
    </row>
    <row r="44" spans="1:4" ht="15.75" x14ac:dyDescent="0.25">
      <c r="A44" s="148" t="s">
        <v>1892</v>
      </c>
      <c r="B44" s="152" t="s">
        <v>1893</v>
      </c>
      <c r="C44" s="141" t="s">
        <v>1831</v>
      </c>
      <c r="D44" s="149"/>
    </row>
    <row r="45" spans="1:4" ht="15.75" x14ac:dyDescent="0.25">
      <c r="A45" s="148" t="s">
        <v>1872</v>
      </c>
      <c r="B45" s="152" t="s">
        <v>1894</v>
      </c>
      <c r="C45" s="141" t="s">
        <v>1831</v>
      </c>
      <c r="D45" s="149"/>
    </row>
    <row r="46" spans="1:4" ht="15.75" x14ac:dyDescent="0.25">
      <c r="A46" s="148" t="s">
        <v>1895</v>
      </c>
      <c r="B46" s="152" t="s">
        <v>1896</v>
      </c>
      <c r="C46" s="141" t="s">
        <v>1831</v>
      </c>
      <c r="D46" s="149"/>
    </row>
    <row r="47" spans="1:4" ht="15.75" x14ac:dyDescent="0.25">
      <c r="A47" s="148" t="s">
        <v>1897</v>
      </c>
      <c r="B47" s="152" t="s">
        <v>1898</v>
      </c>
      <c r="C47" s="141" t="s">
        <v>1855</v>
      </c>
      <c r="D47" s="149"/>
    </row>
    <row r="48" spans="1:4" ht="15.75" x14ac:dyDescent="0.25">
      <c r="A48" s="148" t="s">
        <v>1899</v>
      </c>
      <c r="B48" s="152" t="s">
        <v>1900</v>
      </c>
      <c r="C48" s="141" t="s">
        <v>1828</v>
      </c>
      <c r="D48" s="149"/>
    </row>
    <row r="49" spans="1:4" ht="15.75" x14ac:dyDescent="0.25">
      <c r="A49" s="148" t="s">
        <v>1901</v>
      </c>
      <c r="B49" s="152" t="s">
        <v>1902</v>
      </c>
      <c r="C49" s="141" t="s">
        <v>1831</v>
      </c>
      <c r="D49" s="149"/>
    </row>
    <row r="50" spans="1:4" ht="15.75" x14ac:dyDescent="0.25">
      <c r="A50" s="148" t="s">
        <v>1903</v>
      </c>
      <c r="B50" s="152" t="s">
        <v>1904</v>
      </c>
      <c r="C50" s="141" t="s">
        <v>1831</v>
      </c>
      <c r="D50" s="149"/>
    </row>
    <row r="51" spans="1:4" ht="15.75" x14ac:dyDescent="0.25">
      <c r="A51" s="148" t="s">
        <v>1905</v>
      </c>
      <c r="B51" s="152" t="s">
        <v>1906</v>
      </c>
      <c r="C51" s="141" t="s">
        <v>1831</v>
      </c>
      <c r="D51" s="149"/>
    </row>
    <row r="52" spans="1:4" ht="15.75" x14ac:dyDescent="0.25">
      <c r="A52" s="148" t="s">
        <v>1903</v>
      </c>
      <c r="B52" s="152" t="s">
        <v>1907</v>
      </c>
      <c r="C52" s="141" t="s">
        <v>1831</v>
      </c>
      <c r="D52" s="149"/>
    </row>
    <row r="53" spans="1:4" ht="15.75" x14ac:dyDescent="0.25">
      <c r="A53" s="148" t="s">
        <v>1905</v>
      </c>
      <c r="B53" s="152" t="s">
        <v>1908</v>
      </c>
      <c r="C53" s="141" t="s">
        <v>1831</v>
      </c>
      <c r="D53" s="149"/>
    </row>
    <row r="54" spans="1:4" ht="15.75" x14ac:dyDescent="0.25">
      <c r="A54" s="148" t="s">
        <v>1909</v>
      </c>
      <c r="B54" s="152" t="s">
        <v>1910</v>
      </c>
      <c r="C54" s="141" t="s">
        <v>1828</v>
      </c>
      <c r="D54" s="149" t="s">
        <v>1911</v>
      </c>
    </row>
    <row r="55" spans="1:4" ht="15.75" x14ac:dyDescent="0.25">
      <c r="A55" s="148" t="s">
        <v>1912</v>
      </c>
      <c r="B55" s="152" t="s">
        <v>1913</v>
      </c>
      <c r="C55" s="141" t="s">
        <v>270</v>
      </c>
      <c r="D55" s="149"/>
    </row>
    <row r="56" spans="1:4" ht="15.75" x14ac:dyDescent="0.25">
      <c r="A56" s="148" t="s">
        <v>1914</v>
      </c>
      <c r="B56" s="152" t="s">
        <v>1915</v>
      </c>
      <c r="C56" s="141" t="s">
        <v>1831</v>
      </c>
      <c r="D56" s="149"/>
    </row>
    <row r="57" spans="1:4" ht="15.75" x14ac:dyDescent="0.25">
      <c r="A57" s="148" t="s">
        <v>1916</v>
      </c>
      <c r="B57" s="152" t="s">
        <v>1917</v>
      </c>
      <c r="C57" s="141" t="s">
        <v>1831</v>
      </c>
      <c r="D57" s="149"/>
    </row>
    <row r="58" spans="1:4" ht="15.75" x14ac:dyDescent="0.25">
      <c r="A58" s="148" t="s">
        <v>1918</v>
      </c>
      <c r="B58" s="152" t="s">
        <v>1919</v>
      </c>
      <c r="C58" s="141" t="s">
        <v>1828</v>
      </c>
      <c r="D58" s="149"/>
    </row>
    <row r="59" spans="1:4" ht="15.75" x14ac:dyDescent="0.25">
      <c r="A59" s="148" t="s">
        <v>1920</v>
      </c>
      <c r="B59" s="152" t="s">
        <v>1921</v>
      </c>
      <c r="C59" s="141" t="s">
        <v>1828</v>
      </c>
      <c r="D59" s="149"/>
    </row>
    <row r="60" spans="1:4" ht="15.75" x14ac:dyDescent="0.25">
      <c r="A60" s="148" t="s">
        <v>1922</v>
      </c>
      <c r="B60" s="152" t="s">
        <v>1923</v>
      </c>
      <c r="C60" s="141" t="s">
        <v>1831</v>
      </c>
      <c r="D60" s="149" t="s">
        <v>1911</v>
      </c>
    </row>
    <row r="61" spans="1:4" ht="15.75" x14ac:dyDescent="0.25">
      <c r="A61" s="148" t="s">
        <v>1924</v>
      </c>
      <c r="B61" s="152" t="s">
        <v>1925</v>
      </c>
      <c r="C61" s="141" t="s">
        <v>1828</v>
      </c>
      <c r="D61" s="149" t="s">
        <v>1926</v>
      </c>
    </row>
    <row r="62" spans="1:4" ht="15.75" x14ac:dyDescent="0.25">
      <c r="A62" s="148" t="s">
        <v>1927</v>
      </c>
      <c r="B62" s="152" t="s">
        <v>1928</v>
      </c>
      <c r="C62" s="141" t="s">
        <v>1828</v>
      </c>
      <c r="D62" s="149" t="s">
        <v>1926</v>
      </c>
    </row>
    <row r="63" spans="1:4" ht="15.75" x14ac:dyDescent="0.25">
      <c r="A63" s="148" t="s">
        <v>1929</v>
      </c>
      <c r="B63" s="152" t="s">
        <v>1930</v>
      </c>
      <c r="C63" s="141" t="s">
        <v>1828</v>
      </c>
      <c r="D63" s="149"/>
    </row>
    <row r="64" spans="1:4" ht="15.75" x14ac:dyDescent="0.25">
      <c r="A64" s="148" t="s">
        <v>1931</v>
      </c>
      <c r="B64" s="152" t="s">
        <v>1932</v>
      </c>
      <c r="C64" s="141" t="s">
        <v>1831</v>
      </c>
      <c r="D64" s="149"/>
    </row>
    <row r="65" spans="1:4" ht="15.75" x14ac:dyDescent="0.25">
      <c r="A65" s="148" t="s">
        <v>1933</v>
      </c>
      <c r="B65" s="152" t="s">
        <v>1932</v>
      </c>
      <c r="C65" s="141" t="s">
        <v>1828</v>
      </c>
      <c r="D65" s="149"/>
    </row>
    <row r="66" spans="1:4" ht="15.75" x14ac:dyDescent="0.25">
      <c r="A66" s="148" t="s">
        <v>1934</v>
      </c>
      <c r="B66" s="152" t="s">
        <v>1935</v>
      </c>
      <c r="C66" s="141" t="s">
        <v>1831</v>
      </c>
      <c r="D66" s="149"/>
    </row>
    <row r="67" spans="1:4" ht="15.75" x14ac:dyDescent="0.25">
      <c r="A67" s="148" t="s">
        <v>1936</v>
      </c>
      <c r="B67" s="152" t="s">
        <v>1937</v>
      </c>
      <c r="C67" s="141" t="s">
        <v>1828</v>
      </c>
      <c r="D67" s="149"/>
    </row>
    <row r="68" spans="1:4" ht="15.75" x14ac:dyDescent="0.25">
      <c r="A68" s="148" t="s">
        <v>1884</v>
      </c>
      <c r="B68" s="152" t="s">
        <v>1938</v>
      </c>
      <c r="C68" s="141" t="s">
        <v>1828</v>
      </c>
      <c r="D68" s="149"/>
    </row>
    <row r="69" spans="1:4" ht="15.75" x14ac:dyDescent="0.25">
      <c r="A69" s="148" t="s">
        <v>1939</v>
      </c>
      <c r="B69" s="152" t="s">
        <v>1940</v>
      </c>
      <c r="C69" s="141" t="s">
        <v>1831</v>
      </c>
      <c r="D69" s="149"/>
    </row>
    <row r="70" spans="1:4" ht="15.75" x14ac:dyDescent="0.25">
      <c r="A70" s="148" t="s">
        <v>1941</v>
      </c>
      <c r="B70" s="152" t="s">
        <v>1942</v>
      </c>
      <c r="C70" s="141" t="s">
        <v>1831</v>
      </c>
      <c r="D70" s="149" t="s">
        <v>1926</v>
      </c>
    </row>
    <row r="71" spans="1:4" ht="15.75" x14ac:dyDescent="0.25">
      <c r="A71" s="148" t="s">
        <v>1943</v>
      </c>
      <c r="B71" s="152" t="s">
        <v>1944</v>
      </c>
      <c r="C71" s="141" t="s">
        <v>1831</v>
      </c>
      <c r="D71" s="149" t="s">
        <v>1926</v>
      </c>
    </row>
    <row r="72" spans="1:4" ht="15.75" x14ac:dyDescent="0.25">
      <c r="A72" s="148" t="s">
        <v>1945</v>
      </c>
      <c r="B72" s="152" t="s">
        <v>1946</v>
      </c>
      <c r="C72" s="141" t="s">
        <v>1828</v>
      </c>
      <c r="D72" s="149"/>
    </row>
    <row r="73" spans="1:4" ht="15.75" x14ac:dyDescent="0.25">
      <c r="A73" s="148" t="s">
        <v>1929</v>
      </c>
      <c r="B73" s="152" t="s">
        <v>1947</v>
      </c>
      <c r="C73" s="141" t="s">
        <v>1828</v>
      </c>
      <c r="D73" s="149"/>
    </row>
    <row r="74" spans="1:4" ht="15.75" x14ac:dyDescent="0.25">
      <c r="A74" s="148" t="s">
        <v>1929</v>
      </c>
      <c r="B74" s="152" t="s">
        <v>1948</v>
      </c>
      <c r="C74" s="141" t="s">
        <v>1828</v>
      </c>
      <c r="D74" s="149"/>
    </row>
    <row r="75" spans="1:4" ht="15.75" x14ac:dyDescent="0.25">
      <c r="A75" s="148" t="s">
        <v>1949</v>
      </c>
      <c r="B75" s="152" t="s">
        <v>1950</v>
      </c>
      <c r="C75" s="141" t="s">
        <v>1853</v>
      </c>
      <c r="D75" s="149" t="s">
        <v>1951</v>
      </c>
    </row>
    <row r="76" spans="1:4" ht="15.75" x14ac:dyDescent="0.25">
      <c r="A76" s="148" t="s">
        <v>1952</v>
      </c>
      <c r="B76" s="152" t="s">
        <v>1953</v>
      </c>
      <c r="C76" s="141" t="s">
        <v>1853</v>
      </c>
      <c r="D76" s="149"/>
    </row>
    <row r="77" spans="1:4" ht="15.75" x14ac:dyDescent="0.25">
      <c r="A77" s="148" t="s">
        <v>1954</v>
      </c>
      <c r="B77" s="152" t="s">
        <v>1955</v>
      </c>
      <c r="C77" s="141" t="s">
        <v>1853</v>
      </c>
      <c r="D77" s="149"/>
    </row>
    <row r="78" spans="1:4" ht="15.75" x14ac:dyDescent="0.25">
      <c r="A78" s="148" t="s">
        <v>1956</v>
      </c>
      <c r="B78" s="152" t="s">
        <v>1950</v>
      </c>
      <c r="C78" s="141" t="s">
        <v>1853</v>
      </c>
      <c r="D78" s="149"/>
    </row>
    <row r="79" spans="1:4" ht="15.75" x14ac:dyDescent="0.25">
      <c r="A79" s="148" t="s">
        <v>1957</v>
      </c>
      <c r="B79" s="152" t="s">
        <v>1958</v>
      </c>
      <c r="C79" s="141" t="s">
        <v>1853</v>
      </c>
      <c r="D79" s="149"/>
    </row>
    <row r="80" spans="1:4" ht="15.75" x14ac:dyDescent="0.25">
      <c r="A80" s="148" t="s">
        <v>1959</v>
      </c>
      <c r="B80" s="152" t="s">
        <v>1960</v>
      </c>
      <c r="C80" s="141" t="s">
        <v>1853</v>
      </c>
      <c r="D80" s="149"/>
    </row>
    <row r="81" spans="1:4" ht="15.75" x14ac:dyDescent="0.25">
      <c r="A81" s="148" t="s">
        <v>1961</v>
      </c>
      <c r="B81" s="152" t="s">
        <v>1962</v>
      </c>
      <c r="C81" s="141" t="s">
        <v>1853</v>
      </c>
      <c r="D81" s="149"/>
    </row>
    <row r="82" spans="1:4" ht="15.75" x14ac:dyDescent="0.25">
      <c r="A82" s="148" t="s">
        <v>1963</v>
      </c>
      <c r="B82" s="152" t="s">
        <v>1964</v>
      </c>
      <c r="C82" s="141" t="s">
        <v>1853</v>
      </c>
      <c r="D82" s="149" t="s">
        <v>1951</v>
      </c>
    </row>
    <row r="83" spans="1:4" ht="15.75" x14ac:dyDescent="0.25">
      <c r="A83" s="148" t="s">
        <v>1965</v>
      </c>
      <c r="B83" s="152" t="s">
        <v>1966</v>
      </c>
      <c r="C83" s="141" t="s">
        <v>1853</v>
      </c>
      <c r="D83" s="149"/>
    </row>
    <row r="84" spans="1:4" ht="15.75" x14ac:dyDescent="0.25">
      <c r="A84" s="148" t="s">
        <v>1967</v>
      </c>
      <c r="B84" s="152" t="s">
        <v>1968</v>
      </c>
      <c r="C84" s="141" t="s">
        <v>1853</v>
      </c>
      <c r="D84" s="149"/>
    </row>
    <row r="85" spans="1:4" ht="15.75" x14ac:dyDescent="0.25">
      <c r="A85" s="148" t="s">
        <v>1969</v>
      </c>
      <c r="B85" s="152" t="s">
        <v>1970</v>
      </c>
      <c r="C85" s="141" t="s">
        <v>1853</v>
      </c>
      <c r="D85" s="149"/>
    </row>
    <row r="86" spans="1:4" ht="15.75" x14ac:dyDescent="0.25">
      <c r="A86" s="148" t="s">
        <v>1899</v>
      </c>
      <c r="B86" s="152" t="s">
        <v>1971</v>
      </c>
      <c r="C86" s="141" t="s">
        <v>1828</v>
      </c>
      <c r="D86" s="149"/>
    </row>
    <row r="87" spans="1:4" ht="15.75" x14ac:dyDescent="0.25">
      <c r="A87" s="148" t="s">
        <v>1899</v>
      </c>
      <c r="B87" s="152" t="s">
        <v>1972</v>
      </c>
      <c r="C87" s="141" t="s">
        <v>1828</v>
      </c>
      <c r="D87" s="149"/>
    </row>
    <row r="88" spans="1:4" ht="15.75" x14ac:dyDescent="0.25">
      <c r="A88" s="148" t="s">
        <v>1973</v>
      </c>
      <c r="B88" s="152" t="s">
        <v>1974</v>
      </c>
      <c r="C88" s="141" t="s">
        <v>1853</v>
      </c>
      <c r="D88" s="149" t="s">
        <v>1975</v>
      </c>
    </row>
    <row r="89" spans="1:4" ht="15.75" x14ac:dyDescent="0.25">
      <c r="A89" s="148" t="s">
        <v>1976</v>
      </c>
      <c r="B89" s="152" t="s">
        <v>1977</v>
      </c>
      <c r="C89" s="141" t="s">
        <v>1853</v>
      </c>
      <c r="D89" s="149"/>
    </row>
    <row r="90" spans="1:4" ht="15.75" x14ac:dyDescent="0.25">
      <c r="A90" s="148" t="s">
        <v>1978</v>
      </c>
      <c r="B90" s="152" t="s">
        <v>1979</v>
      </c>
      <c r="C90" s="141" t="s">
        <v>1853</v>
      </c>
      <c r="D90" s="149"/>
    </row>
    <row r="91" spans="1:4" ht="15.75" x14ac:dyDescent="0.25">
      <c r="A91" s="148" t="s">
        <v>1980</v>
      </c>
      <c r="B91" s="152" t="s">
        <v>1981</v>
      </c>
      <c r="C91" s="141" t="s">
        <v>1853</v>
      </c>
      <c r="D91" s="149"/>
    </row>
    <row r="92" spans="1:4" ht="15.75" x14ac:dyDescent="0.25">
      <c r="A92" s="148" t="s">
        <v>1982</v>
      </c>
      <c r="B92" s="152" t="s">
        <v>1983</v>
      </c>
      <c r="C92" s="141" t="s">
        <v>1831</v>
      </c>
      <c r="D92" s="149"/>
    </row>
    <row r="93" spans="1:4" ht="15.75" x14ac:dyDescent="0.25">
      <c r="A93" s="148" t="s">
        <v>1984</v>
      </c>
      <c r="B93" s="152" t="s">
        <v>1985</v>
      </c>
      <c r="C93" s="141" t="s">
        <v>1831</v>
      </c>
      <c r="D93" s="149"/>
    </row>
    <row r="94" spans="1:4" ht="15.75" x14ac:dyDescent="0.25">
      <c r="A94" s="148" t="s">
        <v>1982</v>
      </c>
      <c r="B94" s="152" t="s">
        <v>1986</v>
      </c>
      <c r="C94" s="141" t="s">
        <v>1831</v>
      </c>
      <c r="D94" s="149"/>
    </row>
    <row r="95" spans="1:4" ht="15.75" x14ac:dyDescent="0.25">
      <c r="A95" s="148" t="s">
        <v>1987</v>
      </c>
      <c r="B95" s="152" t="s">
        <v>1988</v>
      </c>
      <c r="C95" s="141" t="s">
        <v>1828</v>
      </c>
      <c r="D95" s="149" t="s">
        <v>1926</v>
      </c>
    </row>
    <row r="96" spans="1:4" ht="15.75" x14ac:dyDescent="0.25">
      <c r="A96" s="148" t="s">
        <v>1989</v>
      </c>
      <c r="B96" s="152" t="s">
        <v>1990</v>
      </c>
      <c r="C96" s="141" t="s">
        <v>1831</v>
      </c>
      <c r="D96" s="149" t="s">
        <v>1926</v>
      </c>
    </row>
    <row r="97" spans="1:4" ht="15.75" x14ac:dyDescent="0.25">
      <c r="A97" s="148" t="s">
        <v>1991</v>
      </c>
      <c r="B97" s="152" t="s">
        <v>1992</v>
      </c>
      <c r="C97" s="141" t="s">
        <v>1828</v>
      </c>
      <c r="D97" s="149" t="s">
        <v>1911</v>
      </c>
    </row>
    <row r="98" spans="1:4" ht="15.75" x14ac:dyDescent="0.25">
      <c r="A98" s="148" t="s">
        <v>1993</v>
      </c>
      <c r="B98" s="152" t="s">
        <v>1994</v>
      </c>
      <c r="C98" s="141" t="s">
        <v>1828</v>
      </c>
      <c r="D98" s="149"/>
    </row>
    <row r="99" spans="1:4" ht="15.75" x14ac:dyDescent="0.25">
      <c r="A99" s="148" t="s">
        <v>1995</v>
      </c>
      <c r="B99" s="152" t="s">
        <v>1996</v>
      </c>
      <c r="C99" s="141" t="s">
        <v>1828</v>
      </c>
      <c r="D99" s="149"/>
    </row>
    <row r="100" spans="1:4" ht="15.75" x14ac:dyDescent="0.25">
      <c r="A100" s="148" t="s">
        <v>1997</v>
      </c>
      <c r="B100" s="152" t="s">
        <v>1998</v>
      </c>
      <c r="C100" s="141" t="s">
        <v>1828</v>
      </c>
      <c r="D100" s="149"/>
    </row>
    <row r="101" spans="1:4" ht="15.75" x14ac:dyDescent="0.25">
      <c r="A101" s="148" t="s">
        <v>1999</v>
      </c>
      <c r="B101" s="152" t="s">
        <v>2000</v>
      </c>
      <c r="C101" s="141" t="s">
        <v>1831</v>
      </c>
      <c r="D101" s="149"/>
    </row>
    <row r="102" spans="1:4" ht="15.75" x14ac:dyDescent="0.25">
      <c r="A102" s="148" t="s">
        <v>2001</v>
      </c>
      <c r="B102" s="152" t="s">
        <v>2002</v>
      </c>
      <c r="C102" s="141" t="s">
        <v>1831</v>
      </c>
      <c r="D102" s="149" t="s">
        <v>1911</v>
      </c>
    </row>
    <row r="103" spans="1:4" ht="15.75" x14ac:dyDescent="0.25">
      <c r="A103" s="148" t="s">
        <v>2003</v>
      </c>
      <c r="B103" s="152" t="s">
        <v>2004</v>
      </c>
      <c r="C103" s="141" t="s">
        <v>1853</v>
      </c>
      <c r="D103" s="149"/>
    </row>
    <row r="104" spans="1:4" ht="15.75" x14ac:dyDescent="0.25">
      <c r="A104" s="148" t="s">
        <v>2005</v>
      </c>
      <c r="B104" s="152" t="s">
        <v>2006</v>
      </c>
      <c r="C104" s="141" t="s">
        <v>1828</v>
      </c>
      <c r="D104" s="149"/>
    </row>
    <row r="105" spans="1:4" ht="15.75" x14ac:dyDescent="0.25">
      <c r="A105" s="148" t="s">
        <v>1999</v>
      </c>
      <c r="B105" s="152" t="s">
        <v>2007</v>
      </c>
      <c r="C105" s="141" t="s">
        <v>1831</v>
      </c>
      <c r="D105" s="149"/>
    </row>
    <row r="106" spans="1:4" ht="15.75" x14ac:dyDescent="0.25">
      <c r="A106" s="148" t="s">
        <v>2008</v>
      </c>
      <c r="B106" s="152" t="s">
        <v>2009</v>
      </c>
      <c r="C106" s="141" t="s">
        <v>1831</v>
      </c>
      <c r="D106" s="149"/>
    </row>
    <row r="107" spans="1:4" ht="15.75" x14ac:dyDescent="0.25">
      <c r="A107" s="148" t="s">
        <v>1997</v>
      </c>
      <c r="B107" s="152" t="s">
        <v>2010</v>
      </c>
      <c r="C107" s="141" t="s">
        <v>1828</v>
      </c>
      <c r="D107" s="149"/>
    </row>
    <row r="108" spans="1:4" ht="15.75" x14ac:dyDescent="0.25">
      <c r="A108" s="148" t="s">
        <v>1997</v>
      </c>
      <c r="B108" s="152" t="s">
        <v>2011</v>
      </c>
      <c r="C108" s="141" t="s">
        <v>1828</v>
      </c>
      <c r="D108" s="149"/>
    </row>
    <row r="109" spans="1:4" ht="15.75" x14ac:dyDescent="0.25">
      <c r="A109" s="148" t="s">
        <v>1984</v>
      </c>
      <c r="B109" s="152" t="s">
        <v>2012</v>
      </c>
      <c r="C109" s="141" t="s">
        <v>1831</v>
      </c>
      <c r="D109" s="149"/>
    </row>
    <row r="110" spans="1:4" ht="15.75" x14ac:dyDescent="0.25">
      <c r="A110" s="148" t="s">
        <v>1982</v>
      </c>
      <c r="B110" s="152" t="s">
        <v>2013</v>
      </c>
      <c r="C110" s="141" t="s">
        <v>1831</v>
      </c>
      <c r="D110" s="149"/>
    </row>
    <row r="111" spans="1:4" ht="15.75" x14ac:dyDescent="0.25">
      <c r="A111" s="148" t="s">
        <v>2003</v>
      </c>
      <c r="B111" s="152" t="s">
        <v>2014</v>
      </c>
      <c r="C111" s="141" t="s">
        <v>1853</v>
      </c>
      <c r="D111" s="149"/>
    </row>
    <row r="112" spans="1:4" ht="15.75" x14ac:dyDescent="0.25">
      <c r="A112" s="148" t="s">
        <v>2008</v>
      </c>
      <c r="B112" s="152" t="s">
        <v>2015</v>
      </c>
      <c r="C112" s="141" t="s">
        <v>1831</v>
      </c>
      <c r="D112" s="149"/>
    </row>
    <row r="113" spans="1:4" ht="15.75" x14ac:dyDescent="0.25">
      <c r="A113" s="148" t="s">
        <v>2016</v>
      </c>
      <c r="B113" s="152" t="s">
        <v>2017</v>
      </c>
      <c r="C113" s="141" t="s">
        <v>1828</v>
      </c>
      <c r="D113" s="149"/>
    </row>
    <row r="114" spans="1:4" ht="15.75" x14ac:dyDescent="0.25">
      <c r="A114" s="148" t="s">
        <v>2018</v>
      </c>
      <c r="B114" s="152" t="s">
        <v>2019</v>
      </c>
      <c r="C114" s="141" t="s">
        <v>1828</v>
      </c>
      <c r="D114" s="149"/>
    </row>
    <row r="115" spans="1:4" ht="15.75" x14ac:dyDescent="0.25">
      <c r="A115" s="148" t="s">
        <v>1884</v>
      </c>
      <c r="B115" s="152" t="s">
        <v>2020</v>
      </c>
      <c r="C115" s="141" t="s">
        <v>1828</v>
      </c>
      <c r="D115" s="149"/>
    </row>
    <row r="116" spans="1:4" ht="15.75" x14ac:dyDescent="0.25">
      <c r="A116" s="148" t="s">
        <v>2021</v>
      </c>
      <c r="B116" s="152" t="s">
        <v>2022</v>
      </c>
      <c r="C116" s="141" t="s">
        <v>1828</v>
      </c>
      <c r="D116" s="149"/>
    </row>
    <row r="117" spans="1:4" ht="15.75" x14ac:dyDescent="0.25">
      <c r="A117" s="148" t="s">
        <v>2023</v>
      </c>
      <c r="B117" s="152" t="s">
        <v>2022</v>
      </c>
      <c r="C117" s="141" t="s">
        <v>1828</v>
      </c>
      <c r="D117" s="149"/>
    </row>
    <row r="118" spans="1:4" ht="15.75" x14ac:dyDescent="0.25">
      <c r="A118" s="148" t="s">
        <v>2024</v>
      </c>
      <c r="B118" s="152" t="s">
        <v>2025</v>
      </c>
      <c r="C118" s="141" t="s">
        <v>1828</v>
      </c>
      <c r="D118" s="149"/>
    </row>
    <row r="119" spans="1:4" ht="15.75" x14ac:dyDescent="0.25">
      <c r="A119" s="148" t="s">
        <v>1997</v>
      </c>
      <c r="B119" s="152" t="s">
        <v>2026</v>
      </c>
      <c r="C119" s="141" t="s">
        <v>1828</v>
      </c>
      <c r="D119" s="149"/>
    </row>
    <row r="120" spans="1:4" ht="15.75" x14ac:dyDescent="0.25">
      <c r="A120" s="148" t="s">
        <v>2027</v>
      </c>
      <c r="B120" s="152" t="s">
        <v>2028</v>
      </c>
      <c r="C120" s="141" t="s">
        <v>1831</v>
      </c>
      <c r="D120" s="149"/>
    </row>
    <row r="121" spans="1:4" ht="15.75" x14ac:dyDescent="0.25">
      <c r="A121" s="148" t="s">
        <v>2029</v>
      </c>
      <c r="B121" s="152" t="s">
        <v>2030</v>
      </c>
      <c r="C121" s="141" t="s">
        <v>1831</v>
      </c>
      <c r="D121" s="149"/>
    </row>
    <row r="122" spans="1:4" ht="15.75" x14ac:dyDescent="0.25">
      <c r="A122" s="148" t="s">
        <v>2031</v>
      </c>
      <c r="B122" s="152" t="s">
        <v>2032</v>
      </c>
      <c r="C122" s="141" t="s">
        <v>1853</v>
      </c>
      <c r="D122" s="149"/>
    </row>
    <row r="123" spans="1:4" ht="15.75" x14ac:dyDescent="0.25">
      <c r="A123" s="148" t="s">
        <v>2033</v>
      </c>
      <c r="B123" s="152" t="s">
        <v>2034</v>
      </c>
      <c r="C123" s="141" t="s">
        <v>1828</v>
      </c>
      <c r="D123" s="149"/>
    </row>
    <row r="124" spans="1:4" ht="15.75" x14ac:dyDescent="0.25">
      <c r="A124" s="148" t="s">
        <v>2035</v>
      </c>
      <c r="B124" s="152" t="s">
        <v>2036</v>
      </c>
      <c r="C124" s="141" t="s">
        <v>1831</v>
      </c>
      <c r="D124" s="149"/>
    </row>
    <row r="125" spans="1:4" ht="15.75" x14ac:dyDescent="0.25">
      <c r="A125" s="148" t="s">
        <v>2035</v>
      </c>
      <c r="B125" s="152" t="s">
        <v>2037</v>
      </c>
      <c r="C125" s="141" t="s">
        <v>1831</v>
      </c>
      <c r="D125" s="149"/>
    </row>
    <row r="126" spans="1:4" ht="15.75" x14ac:dyDescent="0.25">
      <c r="A126" s="148" t="s">
        <v>1884</v>
      </c>
      <c r="B126" s="152" t="s">
        <v>2038</v>
      </c>
      <c r="C126" s="141" t="s">
        <v>1828</v>
      </c>
      <c r="D126" s="149"/>
    </row>
    <row r="127" spans="1:4" ht="15.75" x14ac:dyDescent="0.25">
      <c r="A127" s="148" t="s">
        <v>2039</v>
      </c>
      <c r="B127" s="152" t="s">
        <v>2040</v>
      </c>
      <c r="C127" s="141" t="s">
        <v>1831</v>
      </c>
      <c r="D127" s="149"/>
    </row>
    <row r="128" spans="1:4" ht="15.75" x14ac:dyDescent="0.25">
      <c r="A128" s="148" t="s">
        <v>2041</v>
      </c>
      <c r="B128" s="152" t="s">
        <v>2042</v>
      </c>
      <c r="C128" s="141" t="s">
        <v>1831</v>
      </c>
      <c r="D128" s="149"/>
    </row>
    <row r="129" spans="1:4" ht="15.75" x14ac:dyDescent="0.25">
      <c r="A129" s="148" t="s">
        <v>2043</v>
      </c>
      <c r="B129" s="152" t="s">
        <v>2044</v>
      </c>
      <c r="C129" s="141" t="s">
        <v>1828</v>
      </c>
      <c r="D129" s="149"/>
    </row>
    <row r="130" spans="1:4" ht="15.75" x14ac:dyDescent="0.25">
      <c r="A130" s="148" t="s">
        <v>2045</v>
      </c>
      <c r="B130" s="152" t="s">
        <v>2046</v>
      </c>
      <c r="C130" s="141" t="s">
        <v>1853</v>
      </c>
      <c r="D130" s="149"/>
    </row>
    <row r="131" spans="1:4" ht="15.75" x14ac:dyDescent="0.25">
      <c r="A131" s="148" t="s">
        <v>2047</v>
      </c>
      <c r="B131" s="152" t="s">
        <v>2048</v>
      </c>
      <c r="C131" s="141" t="s">
        <v>1853</v>
      </c>
      <c r="D131" s="149"/>
    </row>
    <row r="132" spans="1:4" ht="15.75" x14ac:dyDescent="0.25">
      <c r="A132" s="148" t="s">
        <v>2049</v>
      </c>
      <c r="B132" s="152" t="s">
        <v>2050</v>
      </c>
      <c r="C132" s="141" t="s">
        <v>1853</v>
      </c>
    </row>
    <row r="133" spans="1:4" ht="15.75" x14ac:dyDescent="0.25">
      <c r="A133" s="148" t="s">
        <v>2045</v>
      </c>
      <c r="B133" s="152" t="s">
        <v>2051</v>
      </c>
      <c r="C133" s="141" t="s">
        <v>1853</v>
      </c>
    </row>
    <row r="134" spans="1:4" ht="15.75" x14ac:dyDescent="0.25">
      <c r="A134" s="148" t="s">
        <v>2052</v>
      </c>
      <c r="B134" s="151" t="s">
        <v>2053</v>
      </c>
      <c r="C134" s="141" t="s">
        <v>1853</v>
      </c>
    </row>
    <row r="135" spans="1:4" ht="15.75" x14ac:dyDescent="0.25">
      <c r="A135" s="148" t="s">
        <v>2054</v>
      </c>
      <c r="B135" s="151" t="s">
        <v>2055</v>
      </c>
      <c r="C135" s="141" t="s">
        <v>1831</v>
      </c>
    </row>
    <row r="136" spans="1:4" ht="15.75" x14ac:dyDescent="0.25">
      <c r="A136" s="148" t="s">
        <v>2056</v>
      </c>
      <c r="B136" s="151" t="s">
        <v>2057</v>
      </c>
      <c r="C136" s="141" t="s">
        <v>1853</v>
      </c>
    </row>
    <row r="137" spans="1:4" ht="15.75" x14ac:dyDescent="0.25">
      <c r="A137" s="148" t="s">
        <v>2056</v>
      </c>
      <c r="B137" s="151" t="s">
        <v>2058</v>
      </c>
      <c r="C137" s="141" t="s">
        <v>1853</v>
      </c>
    </row>
    <row r="138" spans="1:4" ht="15.75" x14ac:dyDescent="0.25">
      <c r="A138" s="148" t="s">
        <v>2059</v>
      </c>
      <c r="B138" s="151" t="s">
        <v>2060</v>
      </c>
      <c r="C138" s="141" t="s">
        <v>1831</v>
      </c>
    </row>
    <row r="139" spans="1:4" ht="15.75" x14ac:dyDescent="0.25">
      <c r="A139" s="148" t="s">
        <v>2059</v>
      </c>
      <c r="B139" s="151" t="s">
        <v>2061</v>
      </c>
      <c r="C139" s="141" t="s">
        <v>1831</v>
      </c>
    </row>
    <row r="140" spans="1:4" ht="15.75" x14ac:dyDescent="0.25">
      <c r="A140" s="148" t="s">
        <v>2062</v>
      </c>
      <c r="B140" s="152" t="s">
        <v>2063</v>
      </c>
      <c r="C140" s="141" t="s">
        <v>1853</v>
      </c>
    </row>
    <row r="141" spans="1:4" ht="15.75" x14ac:dyDescent="0.25">
      <c r="A141" s="148" t="s">
        <v>2064</v>
      </c>
      <c r="B141" s="151" t="s">
        <v>2065</v>
      </c>
      <c r="C141" s="141" t="s">
        <v>1831</v>
      </c>
    </row>
    <row r="142" spans="1:4" ht="15.75" x14ac:dyDescent="0.25">
      <c r="A142" s="148" t="s">
        <v>2064</v>
      </c>
      <c r="B142" s="151" t="s">
        <v>2066</v>
      </c>
      <c r="C142" s="141" t="s">
        <v>1831</v>
      </c>
    </row>
  </sheetData>
  <sortState xmlns:xlrd2="http://schemas.microsoft.com/office/spreadsheetml/2017/richdata2" ref="A2:D138">
    <sortCondition descending="1" ref="B1:B138"/>
  </sortState>
  <phoneticPr fontId="10" type="noConversion"/>
  <dataValidations count="1">
    <dataValidation type="list" allowBlank="1" showInputMessage="1" showErrorMessage="1" sqref="C2:C142" xr:uid="{51581847-E6D5-40D2-988A-70998AB75B23}">
      <formula1>"FIXED-SITE GROUND, MOBILE GROUND, AIR, GROUND &amp; AIR, MARITIME, UNDEFINED"</formula1>
    </dataValidation>
  </dataValidation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x0032_ABCTTaskings xmlns="4233fc49-3339-4531-8895-cee7bd229291" xsi:nil="true"/>
    <lcf76f155ced4ddcb4097134ff3c332f xmlns="4233fc49-3339-4531-8895-cee7bd229291">
      <Terms xmlns="http://schemas.microsoft.com/office/infopath/2007/PartnerControls"/>
    </lcf76f155ced4ddcb4097134ff3c332f>
    <TaxCatchAll xmlns="c93905bf-b08c-430b-8630-76f4d352397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4DDA97709D05344805E34443243448B" ma:contentTypeVersion="18" ma:contentTypeDescription="Create a new document." ma:contentTypeScope="" ma:versionID="7b1a811a238dd769000de4ea4237abee">
  <xsd:schema xmlns:xsd="http://www.w3.org/2001/XMLSchema" xmlns:xs="http://www.w3.org/2001/XMLSchema" xmlns:p="http://schemas.microsoft.com/office/2006/metadata/properties" xmlns:ns1="http://schemas.microsoft.com/sharepoint/v3" xmlns:ns2="4233fc49-3339-4531-8895-cee7bd229291" xmlns:ns3="c93905bf-b08c-430b-8630-76f4d352397a" targetNamespace="http://schemas.microsoft.com/office/2006/metadata/properties" ma:root="true" ma:fieldsID="018987e6a4a4fcb96c07b7d17b8a543e" ns1:_="" ns2:_="" ns3:_="">
    <xsd:import namespace="http://schemas.microsoft.com/sharepoint/v3"/>
    <xsd:import namespace="4233fc49-3339-4531-8895-cee7bd229291"/>
    <xsd:import namespace="c93905bf-b08c-430b-8630-76f4d352397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_x0032_ABCTTasking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Location" minOccurs="0"/>
                <xsd:element ref="ns2:lcf76f155ced4ddcb4097134ff3c332f" minOccurs="0"/>
                <xsd:element ref="ns3:TaxCatchAll"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233fc49-3339-4531-8895-cee7bd229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x0032_ABCTTaskings" ma:index="12" nillable="true" ma:displayName="2ABCT Taskings" ma:format="Dropdown" ma:internalName="_x0032_ABCTTaskings">
      <xsd:simpleType>
        <xsd:restriction base="dms:Text">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c874fec-6985-468d-9a86-0194f6fd86d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93905bf-b08c-430b-8630-76f4d352397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174d28-49eb-46f7-9b56-13a4edbf0587}" ma:internalName="TaxCatchAll" ma:showField="CatchAllData" ma:web="c93905bf-b08c-430b-8630-76f4d35239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FD9B156-997D-4AC5-94BE-20F1F196F0BE}">
  <ds:schemaRefs>
    <ds:schemaRef ds:uri="http://schemas.microsoft.com/sharepoint/v3/contenttype/forms"/>
  </ds:schemaRefs>
</ds:datastoreItem>
</file>

<file path=customXml/itemProps2.xml><?xml version="1.0" encoding="utf-8"?>
<ds:datastoreItem xmlns:ds="http://schemas.openxmlformats.org/officeDocument/2006/customXml" ds:itemID="{C506EDF6-0B4D-4A2C-A402-601A8D8644F3}">
  <ds:schemaRefs>
    <ds:schemaRef ds:uri="http://schemas.microsoft.com/office/2006/metadata/properties"/>
    <ds:schemaRef ds:uri="http://schemas.microsoft.com/office/infopath/2007/PartnerControls"/>
    <ds:schemaRef ds:uri="http://schemas.microsoft.com/sharepoint/v3"/>
    <ds:schemaRef ds:uri="4233fc49-3339-4531-8895-cee7bd229291"/>
    <ds:schemaRef ds:uri="c93905bf-b08c-430b-8630-76f4d352397a"/>
  </ds:schemaRefs>
</ds:datastoreItem>
</file>

<file path=customXml/itemProps3.xml><?xml version="1.0" encoding="utf-8"?>
<ds:datastoreItem xmlns:ds="http://schemas.openxmlformats.org/officeDocument/2006/customXml" ds:itemID="{6CD7BA39-2F33-45B4-9036-A083168FA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233fc49-3339-4531-8895-cee7bd229291"/>
    <ds:schemaRef ds:uri="c93905bf-b08c-430b-8630-76f4d3523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TABLE ON CONTENTS</vt:lpstr>
      <vt:lpstr>Frequency Deconfliction</vt:lpstr>
      <vt:lpstr>Max LOS Range Calc.</vt:lpstr>
      <vt:lpstr>Jam Feasibility Calc.</vt:lpstr>
      <vt:lpstr>VARIOUS Calc.</vt:lpstr>
      <vt:lpstr>(Legacy) Direction Finding</vt:lpstr>
      <vt:lpstr>NOTES</vt:lpstr>
      <vt:lpstr>JRFL</vt:lpstr>
      <vt:lpstr>BLUEFOR</vt:lpstr>
      <vt:lpstr>CIVFREQ</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Shutt, Brenden M 2LT MIL</dc:creator>
  <cp:keywords/>
  <dc:description/>
  <cp:lastModifiedBy>Shutt, Brenden M 1LT USARMY 3 ID (USA)</cp:lastModifiedBy>
  <cp:revision/>
  <dcterms:created xsi:type="dcterms:W3CDTF">2023-05-16T15:04:59Z</dcterms:created>
  <dcterms:modified xsi:type="dcterms:W3CDTF">2024-06-16T16:11:52Z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0x010100E4DDA97709D05344805E34443243448B</vt:lpwstr>
  </property>
</Properties>
</file>